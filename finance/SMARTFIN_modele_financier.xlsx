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Investissement" sheetId="3" state="visible" r:id="rId5"/>
    <sheet name="Projections" sheetId="4" state="visible" r:id="rId6"/>
    <sheet name="Sensibilit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6" authorId="0">
      <text>
        <r>
          <rPr>
            <sz val="10"/>
            <rFont val="Arial"/>
            <family val="2"/>
          </rPr>
          <t xml:space="preserve">Hypothèse la plus sensible du modèle : voir l'onglet Sensibilité.</t>
        </r>
      </text>
    </comment>
  </commentList>
</comments>
</file>

<file path=xl/sharedStrings.xml><?xml version="1.0" encoding="utf-8"?>
<sst xmlns="http://schemas.openxmlformats.org/spreadsheetml/2006/main" count="297" uniqueCount="179">
  <si>
    <t xml:space="preserve">SMARTFIN — Synthèse financière</t>
  </si>
  <si>
    <t xml:space="preserve">Vue d'ensemble pour investisseurs et partenaires (M FCFA sauf mention contraire)</t>
  </si>
  <si>
    <t xml:space="preserve">Indicateur clé</t>
  </si>
  <si>
    <t xml:space="preserve">Unité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</si>
  <si>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</si>
  <si>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</si>
  <si>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</si>
  <si>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</si>
  <si>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</si>
  <si>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Inscrits en fin d'année</t>
  </si>
  <si>
    <t xml:space="preserve">clients</t>
  </si>
  <si>
    <t xml:space="preserve">Clients actifs</t>
  </si>
  <si>
    <t xml:space="preserve">Dépôts annuels</t>
  </si>
  <si>
    <t xml:space="preserve">M FCFA</t>
  </si>
  <si>
    <t xml:space="preserve">Encours moyen clients</t>
  </si>
  <si>
    <t xml:space="preserve">Chiffre d'affaires</t>
  </si>
  <si>
    <t xml:space="preserve">Marge brute</t>
  </si>
  <si>
    <t xml:space="preserve">Taux de marge brute</t>
  </si>
  <si>
    <t xml:space="preserve">%</t>
  </si>
  <si>
    <t xml:space="preserve">EBITDA</t>
  </si>
  <si>
    <t xml:space="preserve">Résultat net</t>
  </si>
  <si>
    <t xml:space="preserve">Trésorerie cumulée (hors levée)</t>
  </si>
  <si>
    <t xml:space="preserve">Revenu par actif</t>
  </si>
  <si>
    <t xml:space="preserve">FCFA</t>
  </si>
  <si>
    <t xml:space="preserve">Ratio LTV / CAC</t>
  </si>
  <si>
    <t xml:space="preserve">x</t>
  </si>
  <si>
    <t xml:space="preserve">Chiffres clés</t>
  </si>
  <si>
    <t xml:space="preserve">Besoin de financement (creux de trésorerie)</t>
  </si>
  <si>
    <t xml:space="preserve">Montant minimal à lever avant marge de sécurité ; prévoir +30 %.</t>
  </si>
  <si>
    <t xml:space="preserve">Levée recommandée (besoin + 30 % de sécurité)</t>
  </si>
  <si>
    <t xml:space="preserve">Première année d'EBITDA positif</t>
  </si>
  <si>
    <t xml:space="preserve">Chiffre d'affaires cumulé sur 5 ans</t>
  </si>
  <si>
    <t xml:space="preserve">Investissements de lancement</t>
  </si>
  <si>
    <t xml:space="preserve">Lecture : l'équilibre dépend surtout (1) du coût d'encaissement négocié avec les opérateurs, (2) de l'encours moyen par client (revenus du float) et (3) de la conversion SMARTFIN+. Voir l'onglet Sensibilité et les cellules jaunes de l'onglet Hypothèses.</t>
  </si>
  <si>
    <t xml:space="preserve">SMARTFIN — Hypothèses du modèle</t>
  </si>
  <si>
    <t xml:space="preserve">Cellules bleues = saisies modifiables · fond jaune = hypothèses clés · montants en FCFA</t>
  </si>
  <si>
    <t xml:space="preserve">Légende : modifiez uniquement les cellules en bleu ; tous les autres onglets se recalculent. Une valeur seule en colonne C s'applique aux 5 années.</t>
  </si>
  <si>
    <t xml:space="preserve">Hypothèse</t>
  </si>
  <si>
    <t xml:space="preserve">Commentaire / source</t>
  </si>
  <si>
    <t xml:space="preserve">Clients</t>
  </si>
  <si>
    <t xml:space="preserve">Hypothèse de lancement : Abidjan A1, toute la Côte d'Ivoire A2, Sénégal + Burkina A3, reste UEMOA A4-A5.</t>
  </si>
  <si>
    <t xml:space="preserve">Taux d'actifs mensuels (sur inscrits moyens)</t>
  </si>
  <si>
    <t xml:space="preserve">Part des inscrits ayant au moins une opération dans le mois. Référence fintechs d'épargne : 30-50 %.</t>
  </si>
  <si>
    <t xml:space="preserve">Actifs abonnés SMARTFIN+</t>
  </si>
  <si>
    <t xml:space="preserve">Conversion freemium typique : 2-10 % des actifs.</t>
  </si>
  <si>
    <t xml:space="preserve">Flux d'argent</t>
  </si>
  <si>
    <t xml:space="preserve">Dépôt moyen mensuel par actif</t>
  </si>
  <si>
    <t xml:space="preserve">Montant épargné/transité chaque mois via l'app (pas le salaire complet).</t>
  </si>
  <si>
    <t xml:space="preserve">Part des dépôts retirée vers Mobile Money</t>
  </si>
  <si>
    <t xml:space="preserve">Le reste est épargné (e-caisse, projets, challenges, cagnottes) ou transféré entre utilisateurs.</t>
  </si>
  <si>
    <t xml:space="preserve">Part des retraits offerts (SMARTFIN+)</t>
  </si>
  <si>
    <t xml:space="preserve">3 retraits offerts par mois aux abonnés.</t>
  </si>
  <si>
    <t xml:space="preserve">Encours moyen par actif</t>
  </si>
  <si>
    <t xml:space="preserve">Solde moyen portefeuille + épargne bloquée.</t>
  </si>
  <si>
    <t xml:space="preserve">Part des dépôts passant par une Cagnotte+</t>
  </si>
  <si>
    <t xml:space="preserve">Tontines et épargne de groupe.</t>
  </si>
  <si>
    <t xml:space="preserve">Part de l'encours en e-caisse</t>
  </si>
  <si>
    <t xml:space="preserve">Part des e-caisses cassées avant l'échéance (par an)</t>
  </si>
  <si>
    <t xml:space="preserve">Tarifs (alignés sur backend/src/pricing.ts)</t>
  </si>
  <si>
    <t xml:space="preserve">Frais de retrait</t>
  </si>
  <si>
    <t xml:space="preserve">1,5 % (min. 100 F, max. 7 500 F).</t>
  </si>
  <si>
    <t xml:space="preserve">Frais de retrait Cagnotte+</t>
  </si>
  <si>
    <t xml:space="preserve">Pénalité de rupture e-caisse</t>
  </si>
  <si>
    <t xml:space="preserve">Abonnement SMARTFIN+ mensuel</t>
  </si>
  <si>
    <t xml:space="preserve">Rendement annuel du float (compte de cantonnement / DAT)</t>
  </si>
  <si>
    <t xml:space="preserve">À valider avec la banque partenaire : la rémunération des fonds de monnaie électronique est encadrée par la BCEAO.</t>
  </si>
  <si>
    <t xml:space="preserve">Commissions partenaires par actif et par an</t>
  </si>
  <si>
    <t xml:space="preserve">Apport d'affaires : micro-assurance, microcrédit (IMF), épargne rémunérée partenaire.</t>
  </si>
  <si>
    <t xml:space="preserve">Coûts directs</t>
  </si>
  <si>
    <t xml:space="preserve">Coût d'encaissement (agrégateur / opérateurs)</t>
  </si>
  <si>
    <t xml:space="preserve">Grille indicative agrégateurs UEMOA 1-2 % ; objectif : contrats directs Wave / Orange / MTN &lt; 1 %. HYPOTHÈSE CRITIQUE.</t>
  </si>
  <si>
    <t xml:space="preserve">Coût de décaissement (payout)</t>
  </si>
  <si>
    <t xml:space="preserve">À négocier.</t>
  </si>
  <si>
    <t xml:space="preserve">SMS par actif et par mois (OTP, alertes)</t>
  </si>
  <si>
    <t xml:space="preserve">SMS</t>
  </si>
  <si>
    <t xml:space="preserve">Réduire via notifications push.</t>
  </si>
  <si>
    <t xml:space="preserve">Coût unitaire SMS</t>
  </si>
  <si>
    <t xml:space="preserve">Part des nouveaux inscrits vérifiés (KYC)</t>
  </si>
  <si>
    <t xml:space="preserve">Coût d'une vérification KYC</t>
  </si>
  <si>
    <t xml:space="preserve">Vérification pièce + selfie (prestataire).</t>
  </si>
  <si>
    <t xml:space="preserve">Part des nouveaux inscrits venus par parrainage</t>
  </si>
  <si>
    <t xml:space="preserve">Bonus parrain</t>
  </si>
  <si>
    <t xml:space="preserve">Versé au 1er dépôt ≥ 5 000 F.</t>
  </si>
  <si>
    <t xml:space="preserve">Charges d'exploitation</t>
  </si>
  <si>
    <t xml:space="preserve">Effectif (ETP moyen)</t>
  </si>
  <si>
    <t xml:space="preserve">personnes</t>
  </si>
  <si>
    <t xml:space="preserve">Tech, produit, conformité, support, ventes/ambassadeurs.</t>
  </si>
  <si>
    <t xml:space="preserve">Coût moyen annuel chargé par ETP</t>
  </si>
  <si>
    <t xml:space="preserve">600 000 F/mois chargés en A1, +5 %/an.</t>
  </si>
  <si>
    <t xml:space="preserve">Coût d'acquisition par nouvel inscrit (CAC)</t>
  </si>
  <si>
    <t xml:space="preserve">Réseaux sociaux, influenceurs, ambassadeurs, activations terrain. Baisse avec le parrainage et la notoriété.</t>
  </si>
  <si>
    <t xml:space="preserve">Marketing de marque (fixe)</t>
  </si>
  <si>
    <t xml:space="preserve">Infrastructure cloud (fixe)</t>
  </si>
  <si>
    <t xml:space="preserve">Infrastructure par actif et par an</t>
  </si>
  <si>
    <t xml:space="preserve">Banque / EME partenaire (frais annuels)</t>
  </si>
  <si>
    <t xml:space="preserve">Tenue du compte de cantonnement et partenariat monnaie électronique.</t>
  </si>
  <si>
    <t xml:space="preserve">Juridique, conformité, audit, sécurité</t>
  </si>
  <si>
    <t xml:space="preserve">Commissaire aux comptes, LBC/FT, tests d'intrusion, assurances.</t>
  </si>
  <si>
    <t xml:space="preserve">Loyer et frais généraux</t>
  </si>
  <si>
    <t xml:space="preserve">Impôt sur les sociétés</t>
  </si>
  <si>
    <t xml:space="preserve">Taux IS Côte d'Ivoire : 25 % (simplifié : pas de report de déficit).</t>
  </si>
  <si>
    <t xml:space="preserve">Durée de vie moyenne d'un client actif</t>
  </si>
  <si>
    <t xml:space="preserve">années</t>
  </si>
  <si>
    <t xml:space="preserve">Pour le calcul de la LTV.</t>
  </si>
  <si>
    <t xml:space="preserve">SMARTFIN — Budget de lancement</t>
  </si>
  <si>
    <t xml:space="preserve">Investissements et dépenses avant/au démarrage (FCFA)</t>
  </si>
  <si>
    <t xml:space="preserve">Poste</t>
  </si>
  <si>
    <t xml:space="preserve">Montant (FCFA)</t>
  </si>
  <si>
    <t xml:space="preserve">Commentaire</t>
  </si>
  <si>
    <t xml:space="preserve">Développement app mobile + API + back-office (finitions, audits)</t>
  </si>
  <si>
    <t xml:space="preserve">Base technique livrée dans ce dépôt ; budget de durcissement et d'intégrations opérateurs.</t>
  </si>
  <si>
    <t xml:space="preserve">Design UX/UI, identité, contenus tutoriels vidéo</t>
  </si>
  <si>
    <t xml:space="preserve">Test d'intrusion et audit de sécurité avant lancement</t>
  </si>
  <si>
    <t xml:space="preserve">Obligatoire avant d'ouvrir les flux d'argent.</t>
  </si>
  <si>
    <t xml:space="preserve">Constitution société, contrats partenaires, conseil réglementaire</t>
  </si>
  <si>
    <t xml:space="preserve">Convention avec banque / EME agréé BCEAO, CGU, politique LBC/FT.</t>
  </si>
  <si>
    <t xml:space="preserve">Équipement (ordinateurs, téléphones de test)</t>
  </si>
  <si>
    <t xml:space="preserve">Amorti sur 3 ans.</t>
  </si>
  <si>
    <t xml:space="preserve">Campagne de lancement (événement, influenceurs, affichage)</t>
  </si>
  <si>
    <t xml:space="preserve">Total investissements de lancement</t>
  </si>
  <si>
    <t xml:space="preserve">Durée d'amortissement (années)</t>
  </si>
  <si>
    <t xml:space="preserve">SMARTFIN — Projections sur 5 ans</t>
  </si>
  <si>
    <t xml:space="preserve">Montants en millions de FCFA sauf mention contraire · tout est calculé à partir des hypothèses</t>
  </si>
  <si>
    <t xml:space="preserve">Indicateur</t>
  </si>
  <si>
    <t xml:space="preserve">Méthode de calcul</t>
  </si>
  <si>
    <t xml:space="preserve">Inscrits moyens</t>
  </si>
  <si>
    <t xml:space="preserve">(début + fin) / 2</t>
  </si>
  <si>
    <t xml:space="preserve">Nouveaux inscrits</t>
  </si>
  <si>
    <t xml:space="preserve">Clients actifs (moyenne mensuelle)</t>
  </si>
  <si>
    <t xml:space="preserve">Abonnés SMARTFIN+</t>
  </si>
  <si>
    <t xml:space="preserve">Volumes</t>
  </si>
  <si>
    <t xml:space="preserve">actifs × dépôt mensuel × 12</t>
  </si>
  <si>
    <t xml:space="preserve">Retraits vers Mobile Money</t>
  </si>
  <si>
    <t xml:space="preserve">dont retraits payants</t>
  </si>
  <si>
    <t xml:space="preserve">Encours moyen clients (float)</t>
  </si>
  <si>
    <t xml:space="preserve">Retraits de Cagnottes+</t>
  </si>
  <si>
    <t xml:space="preserve">E-caisses cassées avant l'échéance</t>
  </si>
  <si>
    <t xml:space="preserve">Revenus</t>
  </si>
  <si>
    <t xml:space="preserve">Frais Cagnotte+</t>
  </si>
  <si>
    <t xml:space="preserve">Pénalités e-caisse</t>
  </si>
  <si>
    <t xml:space="preserve">Abonnements SMARTFIN+</t>
  </si>
  <si>
    <t xml:space="preserve">Revenus du float</t>
  </si>
  <si>
    <t xml:space="preserve">Commissions partenaires</t>
  </si>
  <si>
    <t xml:space="preserve">Frais d'encaissement opérateurs</t>
  </si>
  <si>
    <t xml:space="preserve">Frais de décaissement opérateurs</t>
  </si>
  <si>
    <t xml:space="preserve">SMS (OTP, alertes)</t>
  </si>
  <si>
    <t xml:space="preserve">Vérifications KYC</t>
  </si>
  <si>
    <t xml:space="preserve">Bonus de parrainage</t>
  </si>
  <si>
    <t xml:space="preserve">Total coûts directs</t>
  </si>
  <si>
    <t xml:space="preserve">Salaires et charges</t>
  </si>
  <si>
    <t xml:space="preserve">Marketing d'acquisition</t>
  </si>
  <si>
    <t xml:space="preserve">nouveaux inscrits × CAC</t>
  </si>
  <si>
    <t xml:space="preserve">Marketing de marque</t>
  </si>
  <si>
    <t xml:space="preserve">Infrastructure cloud</t>
  </si>
  <si>
    <t xml:space="preserve">Banque / EME partenaire</t>
  </si>
  <si>
    <t xml:space="preserve">Juridique, conformité, sécurité</t>
  </si>
  <si>
    <t xml:space="preserve">Total charges d'exploitation</t>
  </si>
  <si>
    <t xml:space="preserve">Résultat</t>
  </si>
  <si>
    <t xml:space="preserve">Marge d'EBITDA</t>
  </si>
  <si>
    <t xml:space="preserve">Amortissements</t>
  </si>
  <si>
    <t xml:space="preserve">Investissements de lancement amortis linéairement</t>
  </si>
  <si>
    <t xml:space="preserve">Résultat d'exploitation</t>
  </si>
  <si>
    <t xml:space="preserve">Trésorerie</t>
  </si>
  <si>
    <t xml:space="preserve">Flux de trésorerie</t>
  </si>
  <si>
    <t xml:space="preserve">Résultat net + amortissements − investissements (BFR négligé : les fonds clients sont cantonnés)</t>
  </si>
  <si>
    <t xml:space="preserve">EBITDA positif ? (1 = oui)</t>
  </si>
  <si>
    <t xml:space="preserve">indicateur</t>
  </si>
  <si>
    <t xml:space="preserve">Économie unitaire (par client actif et par an, en FCFA)</t>
  </si>
  <si>
    <t xml:space="preserve">Coûts directs par actif</t>
  </si>
  <si>
    <t xml:space="preserve">Marge brute par actif</t>
  </si>
  <si>
    <t xml:space="preserve">Coût d'acquisition par client actif</t>
  </si>
  <si>
    <t xml:space="preserve">CAC par inscrit ÷ taux d'actifs</t>
  </si>
  <si>
    <t xml:space="preserve">Valeur vie client (LTV)</t>
  </si>
  <si>
    <t xml:space="preserve">marge brute par actif × durée de vie</t>
  </si>
  <si>
    <t xml:space="preserve">Objectif &gt; 3x</t>
  </si>
  <si>
    <t xml:space="preserve">SMARTFIN — Sensibilité de l'EBITDA 2029 (M FCFA)</t>
  </si>
  <si>
    <t xml:space="preserve">Coût d'encaissement (lignes) × frais de retrait (colonnes), autres hypothèses inchangées</t>
  </si>
  <si>
    <t xml:space="preserve">Coût d'encaissement ↓  /  Frais de retrait →</t>
  </si>
  <si>
    <t xml:space="preserve">Les valeurs de l'intersection surlignée correspondent au scénario central de l'onglet Projections.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</si>
</sst>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.0,,&quot; M&quot;;\(#,##0.0,,&quot; M)&quot;;\-"/>
    <numFmt numFmtId="167" formatCode="0.0%;\(0.0%\);\-"/>
    <numFmt numFmtId="168" formatCode="0.0\x;\(0.0&quot;x)&quot;;\-"/>
    <numFmt numFmtId="169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2F2C8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2C8F"/>
        <bgColor rgb="FF003366"/>
      </patternFill>
    </fill>
    <fill>
      <patternFill patternType="solid">
        <fgColor rgb="FFECEBFA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2C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" hidden="false" customHeight="false" outlineLevel="0" collapsed="false">
      <c r="A5" s="6" t="s">
        <v>9</v>
      </c>
      <c r="B5" s="6" t="s">
        <v>10</v>
      </c>
      <c r="C5" s="7" t="n">
        <f aca="false">Projections!C6</f>
        <v>25000</v>
      </c>
      <c r="D5" s="7" t="n">
        <f aca="false">Projections!D6</f>
        <v>90000</v>
      </c>
      <c r="E5" s="7" t="n">
        <f aca="false">Projections!E6</f>
        <v>220000</v>
      </c>
      <c r="F5" s="7" t="n">
        <f aca="false">Projections!F6</f>
        <v>400000</v>
      </c>
      <c r="G5" s="7" t="n">
        <f aca="false">Projections!G6</f>
        <v>650000</v>
      </c>
    </row>
    <row r="6" customFormat="false" ht="15" hidden="false" customHeight="false" outlineLevel="0" collapsed="false">
      <c r="A6" s="6" t="s">
        <v>11</v>
      </c>
      <c r="B6" s="6" t="s">
        <v>10</v>
      </c>
      <c r="C6" s="7" t="n">
        <f aca="false">Projections!C9</f>
        <v>4375</v>
      </c>
      <c r="D6" s="7" t="n">
        <f aca="false">Projections!D9</f>
        <v>23000</v>
      </c>
      <c r="E6" s="7" t="n">
        <f aca="false">Projections!E9</f>
        <v>69750</v>
      </c>
      <c r="F6" s="7" t="n">
        <f aca="false">Projections!F9</f>
        <v>148800</v>
      </c>
      <c r="G6" s="7" t="n">
        <f aca="false">Projections!G9</f>
        <v>262500</v>
      </c>
    </row>
    <row r="7" customFormat="false" ht="15" hidden="false" customHeight="false" outlineLevel="0" collapsed="false">
      <c r="A7" s="6" t="s">
        <v>12</v>
      </c>
      <c r="B7" s="6" t="s">
        <v>13</v>
      </c>
      <c r="C7" s="8" t="n">
        <f aca="false">Projections!C12</f>
        <v>1050000000</v>
      </c>
      <c r="D7" s="8" t="n">
        <f aca="false">Projections!D12</f>
        <v>6072000000</v>
      </c>
      <c r="E7" s="8" t="n">
        <f aca="false">Projections!E12</f>
        <v>20925000000</v>
      </c>
      <c r="F7" s="8" t="n">
        <f aca="false">Projections!F12</f>
        <v>48211200000</v>
      </c>
      <c r="G7" s="8" t="n">
        <f aca="false">Projections!G12</f>
        <v>94500000000</v>
      </c>
    </row>
    <row r="8" customFormat="false" ht="15" hidden="false" customHeight="false" outlineLevel="0" collapsed="false">
      <c r="A8" s="6" t="s">
        <v>14</v>
      </c>
      <c r="B8" s="6" t="s">
        <v>13</v>
      </c>
      <c r="C8" s="8" t="n">
        <f aca="false">Projections!C15</f>
        <v>109375000</v>
      </c>
      <c r="D8" s="8" t="n">
        <f aca="false">Projections!D15</f>
        <v>690000000</v>
      </c>
      <c r="E8" s="8" t="n">
        <f aca="false">Projections!E15</f>
        <v>2441250000</v>
      </c>
      <c r="F8" s="8" t="n">
        <f aca="false">Projections!F15</f>
        <v>5952000000</v>
      </c>
      <c r="G8" s="8" t="n">
        <f aca="false">Projections!G15</f>
        <v>11812500000</v>
      </c>
    </row>
    <row r="9" customFormat="false" ht="15" hidden="false" customHeight="false" outlineLevel="0" collapsed="false">
      <c r="A9" s="6" t="s">
        <v>15</v>
      </c>
      <c r="B9" s="6" t="s">
        <v>13</v>
      </c>
      <c r="C9" s="8" t="n">
        <f aca="false">Projections!C25</f>
        <v>12908437.5</v>
      </c>
      <c r="D9" s="8" t="n">
        <f aca="false">Projections!D25</f>
        <v>94438000</v>
      </c>
      <c r="E9" s="8" t="n">
        <f aca="false">Projections!E25</f>
        <v>372744000</v>
      </c>
      <c r="F9" s="8" t="n">
        <f aca="false">Projections!F25</f>
        <v>939270240</v>
      </c>
      <c r="G9" s="8" t="n">
        <f aca="false">Projections!G25</f>
        <v>1936593750</v>
      </c>
    </row>
    <row r="10" customFormat="false" ht="15" hidden="false" customHeight="false" outlineLevel="0" collapsed="false">
      <c r="A10" s="6" t="s">
        <v>16</v>
      </c>
      <c r="B10" s="6" t="s">
        <v>13</v>
      </c>
      <c r="C10" s="8" t="n">
        <f aca="false">Projections!C33</f>
        <v>-8751562.5</v>
      </c>
      <c r="D10" s="8" t="n">
        <f aca="false">Projections!D33</f>
        <v>298000</v>
      </c>
      <c r="E10" s="8" t="n">
        <f aca="false">Projections!E33</f>
        <v>98052750</v>
      </c>
      <c r="F10" s="8" t="n">
        <f aca="false">Projections!F33</f>
        <v>364632480</v>
      </c>
      <c r="G10" s="8" t="n">
        <f aca="false">Projections!G33</f>
        <v>942993750</v>
      </c>
    </row>
    <row r="11" customFormat="false" ht="15" hidden="false" customHeight="false" outlineLevel="0" collapsed="false">
      <c r="A11" s="6" t="s">
        <v>17</v>
      </c>
      <c r="B11" s="6" t="s">
        <v>18</v>
      </c>
      <c r="C11" s="9" t="n">
        <f aca="false">Projections!C34</f>
        <v>-0.677972256518266</v>
      </c>
      <c r="D11" s="9" t="n">
        <f aca="false">Projections!D34</f>
        <v>0.00315550943476143</v>
      </c>
      <c r="E11" s="9" t="n">
        <f aca="false">Projections!E34</f>
        <v>0.263056548193935</v>
      </c>
      <c r="F11" s="9" t="n">
        <f aca="false">Projections!F34</f>
        <v>0.388208275394736</v>
      </c>
      <c r="G11" s="9" t="n">
        <f aca="false">Projections!G34</f>
        <v>0.486934211163286</v>
      </c>
    </row>
    <row r="12" customFormat="false" ht="15" hidden="false" customHeight="false" outlineLevel="0" collapsed="false">
      <c r="A12" s="6" t="s">
        <v>19</v>
      </c>
      <c r="B12" s="6" t="s">
        <v>13</v>
      </c>
      <c r="C12" s="8" t="n">
        <f aca="false">Projections!C45</f>
        <v>-156376562.5</v>
      </c>
      <c r="D12" s="8" t="n">
        <f aca="false">Projections!D45</f>
        <v>-273802000</v>
      </c>
      <c r="E12" s="8" t="n">
        <f aca="false">Projections!E45</f>
        <v>-368953250</v>
      </c>
      <c r="F12" s="8" t="n">
        <f aca="false">Projections!F45</f>
        <v>-288943520</v>
      </c>
      <c r="G12" s="8" t="n">
        <f aca="false">Projections!G45</f>
        <v>78909750</v>
      </c>
    </row>
    <row r="13" customFormat="false" ht="15" hidden="false" customHeight="false" outlineLevel="0" collapsed="false">
      <c r="A13" s="6" t="s">
        <v>20</v>
      </c>
      <c r="B13" s="6" t="s">
        <v>13</v>
      </c>
      <c r="C13" s="8" t="n">
        <f aca="false">Projections!C50</f>
        <v>-177043229.166667</v>
      </c>
      <c r="D13" s="8" t="n">
        <f aca="false">Projections!D50</f>
        <v>-294468666.666667</v>
      </c>
      <c r="E13" s="8" t="n">
        <f aca="false">Projections!E50</f>
        <v>-389619916.666667</v>
      </c>
      <c r="F13" s="8" t="n">
        <f aca="false">Projections!F50</f>
        <v>-288943520</v>
      </c>
      <c r="G13" s="8" t="n">
        <f aca="false">Projections!G50</f>
        <v>59182312.5</v>
      </c>
    </row>
    <row r="14" customFormat="false" ht="15" hidden="false" customHeight="false" outlineLevel="0" collapsed="false">
      <c r="A14" s="6" t="s">
        <v>21</v>
      </c>
      <c r="B14" s="6" t="s">
        <v>13</v>
      </c>
      <c r="C14" s="8" t="n">
        <f aca="false">Projections!C54</f>
        <v>-218376562.5</v>
      </c>
      <c r="D14" s="8" t="n">
        <f aca="false">Projections!D54</f>
        <v>-492178562.5</v>
      </c>
      <c r="E14" s="8" t="n">
        <f aca="false">Projections!E54</f>
        <v>-861131812.5</v>
      </c>
      <c r="F14" s="8" t="n">
        <f aca="false">Projections!F54</f>
        <v>-1150075332.5</v>
      </c>
      <c r="G14" s="8" t="n">
        <f aca="false">Projections!G54</f>
        <v>-1090893020</v>
      </c>
    </row>
    <row r="15" customFormat="false" ht="15" hidden="false" customHeight="false" outlineLevel="0" collapsed="false">
      <c r="A15" s="6" t="s">
        <v>22</v>
      </c>
      <c r="B15" s="6" t="s">
        <v>23</v>
      </c>
      <c r="C15" s="7" t="n">
        <f aca="false">Projections!C57</f>
        <v>2950.5</v>
      </c>
      <c r="D15" s="7" t="n">
        <f aca="false">Projections!D57</f>
        <v>4106</v>
      </c>
      <c r="E15" s="7" t="n">
        <f aca="false">Projections!E57</f>
        <v>5344</v>
      </c>
      <c r="F15" s="7" t="n">
        <f aca="false">Projections!F57</f>
        <v>6312.3</v>
      </c>
      <c r="G15" s="7" t="n">
        <f aca="false">Projections!G57</f>
        <v>7377.5</v>
      </c>
    </row>
    <row r="16" customFormat="false" ht="15" hidden="false" customHeight="false" outlineLevel="0" collapsed="false">
      <c r="A16" s="6" t="s">
        <v>24</v>
      </c>
      <c r="B16" s="6" t="s">
        <v>25</v>
      </c>
      <c r="C16" s="10" t="n">
        <f aca="false">Projections!C62</f>
        <v>-1.40025</v>
      </c>
      <c r="D16" s="10" t="n">
        <f aca="false">Projections!D62</f>
        <v>0.0119598662207358</v>
      </c>
      <c r="E16" s="10" t="n">
        <f aca="false">Projections!E62</f>
        <v>1.58149596774194</v>
      </c>
      <c r="F16" s="10" t="n">
        <f aca="false">Projections!F62</f>
        <v>3.20791038123167</v>
      </c>
      <c r="G16" s="10" t="n">
        <f aca="false">Projections!G62</f>
        <v>5.38853571428571</v>
      </c>
    </row>
    <row r="18" customFormat="false" ht="15" hidden="false" customHeight="false" outlineLevel="0" collapsed="false">
      <c r="A18" s="11" t="s">
        <v>26</v>
      </c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3" t="s">
        <v>27</v>
      </c>
      <c r="B19" s="14" t="n">
        <f aca="false">-MIN(0,MIN(Projections!$C$54:$G$54))</f>
        <v>1150075332.5</v>
      </c>
      <c r="C19" s="15" t="s">
        <v>28</v>
      </c>
    </row>
    <row r="20" customFormat="false" ht="15" hidden="false" customHeight="false" outlineLevel="0" collapsed="false">
      <c r="A20" s="13" t="s">
        <v>29</v>
      </c>
      <c r="B20" s="14" t="n">
        <f aca="false">B19*1.3</f>
        <v>1495097932.25</v>
      </c>
      <c r="C20" s="15"/>
    </row>
    <row r="21" customFormat="false" ht="15" hidden="false" customHeight="false" outlineLevel="0" collapsed="false">
      <c r="A21" s="13" t="s">
        <v>30</v>
      </c>
      <c r="B21" s="16" t="str">
        <f aca="false">IFERROR(INDEX(Projections!$C$4:$G$4,MATCH(1,Projections!$C$55:$G$55,0)),"Après 2031")</f>
        <v>2031</v>
      </c>
      <c r="C21" s="15"/>
    </row>
    <row r="22" customFormat="false" ht="15" hidden="false" customHeight="false" outlineLevel="0" collapsed="false">
      <c r="A22" s="13" t="s">
        <v>31</v>
      </c>
      <c r="B22" s="14" t="n">
        <f aca="false">SUM(Projections!$C$25:$G$25)</f>
        <v>3355954427.5</v>
      </c>
      <c r="C22" s="15"/>
    </row>
    <row r="23" customFormat="false" ht="15" hidden="false" customHeight="false" outlineLevel="0" collapsed="false">
      <c r="A23" s="13" t="s">
        <v>32</v>
      </c>
      <c r="B23" s="14" t="n">
        <f aca="false">Investissement!$B$11</f>
        <v>62000000</v>
      </c>
      <c r="C23" s="15"/>
    </row>
    <row r="25" customFormat="false" ht="42" hidden="false" customHeight="true" outlineLevel="0" collapsed="false">
      <c r="A25" s="17" t="s">
        <v>33</v>
      </c>
      <c r="B25" s="17"/>
      <c r="C25" s="17"/>
      <c r="D25" s="17"/>
      <c r="E25" s="17"/>
      <c r="F25" s="17"/>
      <c r="G25" s="17"/>
    </row>
  </sheetData>
  <mergeCells count="1"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7" min="3" style="0" width="14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35</v>
      </c>
    </row>
    <row r="3" customFormat="false" ht="15" hidden="false" customHeight="false" outlineLevel="0" collapsed="false">
      <c r="A3" s="15" t="s">
        <v>36</v>
      </c>
    </row>
    <row r="5" customFormat="false" ht="30" hidden="false" customHeight="true" outlineLevel="0" collapsed="false">
      <c r="A5" s="4" t="s">
        <v>37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38</v>
      </c>
    </row>
    <row r="6" customFormat="false" ht="15" hidden="false" customHeight="false" outlineLevel="0" collapsed="false">
      <c r="A6" s="11" t="s">
        <v>39</v>
      </c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6" t="s">
        <v>9</v>
      </c>
      <c r="B7" s="6" t="s">
        <v>10</v>
      </c>
      <c r="C7" s="18" t="n">
        <v>25000</v>
      </c>
      <c r="D7" s="18" t="n">
        <v>90000</v>
      </c>
      <c r="E7" s="18" t="n">
        <v>220000</v>
      </c>
      <c r="F7" s="18" t="n">
        <v>400000</v>
      </c>
      <c r="G7" s="18" t="n">
        <v>650000</v>
      </c>
      <c r="H7" s="15" t="s">
        <v>40</v>
      </c>
    </row>
    <row r="8" customFormat="false" ht="15" hidden="false" customHeight="false" outlineLevel="0" collapsed="false">
      <c r="A8" s="6" t="s">
        <v>41</v>
      </c>
      <c r="B8" s="6" t="s">
        <v>18</v>
      </c>
      <c r="C8" s="19" t="n">
        <v>0.35</v>
      </c>
      <c r="D8" s="19" t="n">
        <v>0.4</v>
      </c>
      <c r="E8" s="19" t="n">
        <v>0.45</v>
      </c>
      <c r="F8" s="19" t="n">
        <v>0.48</v>
      </c>
      <c r="G8" s="19" t="n">
        <v>0.5</v>
      </c>
      <c r="H8" s="15" t="s">
        <v>42</v>
      </c>
    </row>
    <row r="9" customFormat="false" ht="15" hidden="false" customHeight="false" outlineLevel="0" collapsed="false">
      <c r="A9" s="6" t="s">
        <v>43</v>
      </c>
      <c r="B9" s="6" t="s">
        <v>18</v>
      </c>
      <c r="C9" s="19" t="n">
        <v>0.03</v>
      </c>
      <c r="D9" s="19" t="n">
        <v>0.05</v>
      </c>
      <c r="E9" s="19" t="n">
        <v>0.07</v>
      </c>
      <c r="F9" s="19" t="n">
        <v>0.08</v>
      </c>
      <c r="G9" s="19" t="n">
        <v>0.09</v>
      </c>
      <c r="H9" s="15" t="s">
        <v>44</v>
      </c>
    </row>
    <row r="10" customFormat="false" ht="15" hidden="false" customHeight="false" outlineLevel="0" collapsed="false">
      <c r="A10" s="11" t="s">
        <v>45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6" t="s">
        <v>46</v>
      </c>
      <c r="B11" s="6" t="s">
        <v>23</v>
      </c>
      <c r="C11" s="18" t="n">
        <v>20000</v>
      </c>
      <c r="D11" s="18" t="n">
        <v>22000</v>
      </c>
      <c r="E11" s="18" t="n">
        <v>25000</v>
      </c>
      <c r="F11" s="18" t="n">
        <v>27000</v>
      </c>
      <c r="G11" s="18" t="n">
        <v>30000</v>
      </c>
      <c r="H11" s="15" t="s">
        <v>47</v>
      </c>
    </row>
    <row r="12" customFormat="false" ht="15" hidden="false" customHeight="false" outlineLevel="0" collapsed="false">
      <c r="A12" s="6" t="s">
        <v>48</v>
      </c>
      <c r="B12" s="6" t="s">
        <v>18</v>
      </c>
      <c r="C12" s="20" t="n">
        <v>0.45</v>
      </c>
      <c r="H12" s="15" t="s">
        <v>49</v>
      </c>
    </row>
    <row r="13" customFormat="false" ht="15" hidden="false" customHeight="false" outlineLevel="0" collapsed="false">
      <c r="A13" s="6" t="s">
        <v>50</v>
      </c>
      <c r="B13" s="6" t="s">
        <v>18</v>
      </c>
      <c r="C13" s="20" t="n">
        <v>0.1</v>
      </c>
      <c r="H13" s="15" t="s">
        <v>51</v>
      </c>
    </row>
    <row r="14" customFormat="false" ht="15" hidden="false" customHeight="false" outlineLevel="0" collapsed="false">
      <c r="A14" s="6" t="s">
        <v>52</v>
      </c>
      <c r="B14" s="6" t="s">
        <v>23</v>
      </c>
      <c r="C14" s="18" t="n">
        <v>25000</v>
      </c>
      <c r="D14" s="18" t="n">
        <v>30000</v>
      </c>
      <c r="E14" s="18" t="n">
        <v>35000</v>
      </c>
      <c r="F14" s="18" t="n">
        <v>40000</v>
      </c>
      <c r="G14" s="18" t="n">
        <v>45000</v>
      </c>
      <c r="H14" s="15" t="s">
        <v>53</v>
      </c>
    </row>
    <row r="15" customFormat="false" ht="15" hidden="false" customHeight="false" outlineLevel="0" collapsed="false">
      <c r="A15" s="6" t="s">
        <v>54</v>
      </c>
      <c r="B15" s="6" t="s">
        <v>18</v>
      </c>
      <c r="C15" s="20" t="n">
        <v>0.15</v>
      </c>
      <c r="D15" s="20" t="n">
        <v>0.18</v>
      </c>
      <c r="E15" s="20" t="n">
        <v>0.2</v>
      </c>
      <c r="F15" s="20" t="n">
        <v>0.2</v>
      </c>
      <c r="G15" s="20" t="n">
        <v>0.2</v>
      </c>
      <c r="H15" s="15" t="s">
        <v>55</v>
      </c>
    </row>
    <row r="16" customFormat="false" ht="15" hidden="false" customHeight="false" outlineLevel="0" collapsed="false">
      <c r="A16" s="6" t="s">
        <v>56</v>
      </c>
      <c r="B16" s="6" t="s">
        <v>18</v>
      </c>
      <c r="C16" s="20" t="n">
        <v>0.3</v>
      </c>
      <c r="H16" s="15"/>
    </row>
    <row r="17" customFormat="false" ht="15" hidden="false" customHeight="false" outlineLevel="0" collapsed="false">
      <c r="A17" s="6" t="s">
        <v>57</v>
      </c>
      <c r="B17" s="6" t="s">
        <v>18</v>
      </c>
      <c r="C17" s="20" t="n">
        <v>0.15</v>
      </c>
      <c r="H17" s="15"/>
    </row>
    <row r="18" customFormat="false" ht="15" hidden="false" customHeight="false" outlineLevel="0" collapsed="false">
      <c r="A18" s="11" t="s">
        <v>58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6" t="s">
        <v>59</v>
      </c>
      <c r="B19" s="6" t="s">
        <v>18</v>
      </c>
      <c r="C19" s="19" t="n">
        <v>0.015</v>
      </c>
      <c r="H19" s="15" t="s">
        <v>60</v>
      </c>
    </row>
    <row r="20" customFormat="false" ht="15" hidden="false" customHeight="false" outlineLevel="0" collapsed="false">
      <c r="A20" s="6" t="s">
        <v>61</v>
      </c>
      <c r="B20" s="6" t="s">
        <v>18</v>
      </c>
      <c r="C20" s="20" t="n">
        <v>0.01</v>
      </c>
      <c r="H20" s="15"/>
    </row>
    <row r="21" customFormat="false" ht="15" hidden="false" customHeight="false" outlineLevel="0" collapsed="false">
      <c r="A21" s="6" t="s">
        <v>62</v>
      </c>
      <c r="B21" s="6" t="s">
        <v>18</v>
      </c>
      <c r="C21" s="20" t="n">
        <v>0.02</v>
      </c>
      <c r="H21" s="15"/>
    </row>
    <row r="22" customFormat="false" ht="15" hidden="false" customHeight="false" outlineLevel="0" collapsed="false">
      <c r="A22" s="6" t="s">
        <v>63</v>
      </c>
      <c r="B22" s="6" t="s">
        <v>23</v>
      </c>
      <c r="C22" s="18" t="n">
        <v>1000</v>
      </c>
      <c r="H22" s="15"/>
    </row>
    <row r="23" customFormat="false" ht="15" hidden="false" customHeight="false" outlineLevel="0" collapsed="false">
      <c r="A23" s="6" t="s">
        <v>64</v>
      </c>
      <c r="B23" s="6" t="s">
        <v>18</v>
      </c>
      <c r="C23" s="19" t="n">
        <v>0.03</v>
      </c>
      <c r="H23" s="15" t="s">
        <v>65</v>
      </c>
    </row>
    <row r="24" customFormat="false" ht="15" hidden="false" customHeight="false" outlineLevel="0" collapsed="false">
      <c r="A24" s="6" t="s">
        <v>66</v>
      </c>
      <c r="B24" s="6" t="s">
        <v>23</v>
      </c>
      <c r="C24" s="21" t="n">
        <v>0</v>
      </c>
      <c r="D24" s="21" t="n">
        <v>500</v>
      </c>
      <c r="E24" s="21" t="n">
        <v>1000</v>
      </c>
      <c r="F24" s="21" t="n">
        <v>1500</v>
      </c>
      <c r="G24" s="21" t="n">
        <v>2000</v>
      </c>
      <c r="H24" s="15" t="s">
        <v>67</v>
      </c>
    </row>
    <row r="25" customFormat="false" ht="15" hidden="false" customHeight="false" outlineLevel="0" collapsed="false">
      <c r="A25" s="11" t="s">
        <v>68</v>
      </c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6" t="s">
        <v>69</v>
      </c>
      <c r="B26" s="6" t="s">
        <v>18</v>
      </c>
      <c r="C26" s="19" t="n">
        <v>0.01</v>
      </c>
      <c r="D26" s="19" t="n">
        <v>0.009</v>
      </c>
      <c r="E26" s="19" t="n">
        <v>0.008</v>
      </c>
      <c r="F26" s="19" t="n">
        <v>0.008</v>
      </c>
      <c r="G26" s="19" t="n">
        <v>0.007</v>
      </c>
      <c r="H26" s="15" t="s">
        <v>70</v>
      </c>
    </row>
    <row r="27" customFormat="false" ht="15" hidden="false" customHeight="false" outlineLevel="0" collapsed="false">
      <c r="A27" s="6" t="s">
        <v>71</v>
      </c>
      <c r="B27" s="6" t="s">
        <v>18</v>
      </c>
      <c r="C27" s="19" t="n">
        <v>0.006</v>
      </c>
      <c r="D27" s="19" t="n">
        <v>0.005</v>
      </c>
      <c r="E27" s="19" t="n">
        <v>0.005</v>
      </c>
      <c r="F27" s="19" t="n">
        <v>0.004</v>
      </c>
      <c r="G27" s="19" t="n">
        <v>0.004</v>
      </c>
      <c r="H27" s="15" t="s">
        <v>72</v>
      </c>
    </row>
    <row r="28" customFormat="false" ht="15" hidden="false" customHeight="false" outlineLevel="0" collapsed="false">
      <c r="A28" s="6" t="s">
        <v>73</v>
      </c>
      <c r="B28" s="6" t="s">
        <v>74</v>
      </c>
      <c r="C28" s="21" t="n">
        <v>2</v>
      </c>
      <c r="H28" s="15" t="s">
        <v>75</v>
      </c>
    </row>
    <row r="29" customFormat="false" ht="15" hidden="false" customHeight="false" outlineLevel="0" collapsed="false">
      <c r="A29" s="6" t="s">
        <v>76</v>
      </c>
      <c r="B29" s="6" t="s">
        <v>23</v>
      </c>
      <c r="C29" s="21" t="n">
        <v>15</v>
      </c>
      <c r="H29" s="15"/>
    </row>
    <row r="30" customFormat="false" ht="15" hidden="false" customHeight="false" outlineLevel="0" collapsed="false">
      <c r="A30" s="6" t="s">
        <v>77</v>
      </c>
      <c r="B30" s="6" t="s">
        <v>18</v>
      </c>
      <c r="C30" s="20" t="n">
        <v>0.4</v>
      </c>
      <c r="H30" s="15"/>
    </row>
    <row r="31" customFormat="false" ht="15" hidden="false" customHeight="false" outlineLevel="0" collapsed="false">
      <c r="A31" s="6" t="s">
        <v>78</v>
      </c>
      <c r="B31" s="6" t="s">
        <v>23</v>
      </c>
      <c r="C31" s="21" t="n">
        <v>300</v>
      </c>
      <c r="H31" s="15" t="s">
        <v>79</v>
      </c>
    </row>
    <row r="32" customFormat="false" ht="15" hidden="false" customHeight="false" outlineLevel="0" collapsed="false">
      <c r="A32" s="6" t="s">
        <v>80</v>
      </c>
      <c r="B32" s="6" t="s">
        <v>18</v>
      </c>
      <c r="C32" s="20" t="n">
        <v>0.3</v>
      </c>
      <c r="H32" s="15"/>
    </row>
    <row r="33" customFormat="false" ht="15" hidden="false" customHeight="false" outlineLevel="0" collapsed="false">
      <c r="A33" s="6" t="s">
        <v>81</v>
      </c>
      <c r="B33" s="6" t="s">
        <v>23</v>
      </c>
      <c r="C33" s="21" t="n">
        <v>500</v>
      </c>
      <c r="H33" s="15" t="s">
        <v>82</v>
      </c>
    </row>
    <row r="34" customFormat="false" ht="15" hidden="false" customHeight="false" outlineLevel="0" collapsed="false">
      <c r="A34" s="11" t="s">
        <v>83</v>
      </c>
      <c r="B34" s="12"/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A35" s="6" t="s">
        <v>84</v>
      </c>
      <c r="B35" s="6" t="s">
        <v>85</v>
      </c>
      <c r="C35" s="18" t="n">
        <v>8</v>
      </c>
      <c r="D35" s="18" t="n">
        <v>14</v>
      </c>
      <c r="E35" s="18" t="n">
        <v>22</v>
      </c>
      <c r="F35" s="18" t="n">
        <v>32</v>
      </c>
      <c r="G35" s="18" t="n">
        <v>42</v>
      </c>
      <c r="H35" s="15" t="s">
        <v>86</v>
      </c>
    </row>
    <row r="36" customFormat="false" ht="15" hidden="false" customHeight="false" outlineLevel="0" collapsed="false">
      <c r="A36" s="6" t="s">
        <v>87</v>
      </c>
      <c r="B36" s="6" t="s">
        <v>23</v>
      </c>
      <c r="C36" s="21" t="n">
        <v>7200000</v>
      </c>
      <c r="D36" s="21" t="n">
        <v>7560000</v>
      </c>
      <c r="E36" s="21" t="n">
        <v>7938000</v>
      </c>
      <c r="F36" s="21" t="n">
        <v>8335000</v>
      </c>
      <c r="G36" s="21" t="n">
        <v>8752000</v>
      </c>
      <c r="H36" s="15" t="s">
        <v>88</v>
      </c>
    </row>
    <row r="37" customFormat="false" ht="15" hidden="false" customHeight="false" outlineLevel="0" collapsed="false">
      <c r="A37" s="6" t="s">
        <v>89</v>
      </c>
      <c r="B37" s="6" t="s">
        <v>23</v>
      </c>
      <c r="C37" s="18" t="n">
        <v>1500</v>
      </c>
      <c r="D37" s="18" t="n">
        <v>1300</v>
      </c>
      <c r="E37" s="18" t="n">
        <v>1200</v>
      </c>
      <c r="F37" s="18" t="n">
        <v>1100</v>
      </c>
      <c r="G37" s="18" t="n">
        <v>1000</v>
      </c>
      <c r="H37" s="15" t="s">
        <v>90</v>
      </c>
    </row>
    <row r="38" customFormat="false" ht="15" hidden="false" customHeight="false" outlineLevel="0" collapsed="false">
      <c r="A38" s="6" t="s">
        <v>91</v>
      </c>
      <c r="B38" s="6" t="s">
        <v>23</v>
      </c>
      <c r="C38" s="21" t="n">
        <v>15000000</v>
      </c>
      <c r="D38" s="21" t="n">
        <v>30000000</v>
      </c>
      <c r="E38" s="21" t="n">
        <v>50000000</v>
      </c>
      <c r="F38" s="21" t="n">
        <v>70000000</v>
      </c>
      <c r="G38" s="21" t="n">
        <v>90000000</v>
      </c>
      <c r="H38" s="15"/>
    </row>
    <row r="39" customFormat="false" ht="15" hidden="false" customHeight="false" outlineLevel="0" collapsed="false">
      <c r="A39" s="6" t="s">
        <v>92</v>
      </c>
      <c r="B39" s="6" t="s">
        <v>23</v>
      </c>
      <c r="C39" s="21" t="n">
        <v>6000000</v>
      </c>
      <c r="D39" s="21" t="n">
        <v>9000000</v>
      </c>
      <c r="E39" s="21" t="n">
        <v>15000000</v>
      </c>
      <c r="F39" s="21" t="n">
        <v>22000000</v>
      </c>
      <c r="G39" s="21" t="n">
        <v>30000000</v>
      </c>
      <c r="H39" s="15"/>
    </row>
    <row r="40" customFormat="false" ht="15" hidden="false" customHeight="false" outlineLevel="0" collapsed="false">
      <c r="A40" s="6" t="s">
        <v>93</v>
      </c>
      <c r="B40" s="6" t="s">
        <v>23</v>
      </c>
      <c r="C40" s="21" t="n">
        <v>120</v>
      </c>
      <c r="H40" s="15"/>
    </row>
    <row r="41" customFormat="false" ht="15" hidden="false" customHeight="false" outlineLevel="0" collapsed="false">
      <c r="A41" s="6" t="s">
        <v>94</v>
      </c>
      <c r="B41" s="6" t="s">
        <v>23</v>
      </c>
      <c r="C41" s="21" t="n">
        <v>12000000</v>
      </c>
      <c r="D41" s="21" t="n">
        <v>15000000</v>
      </c>
      <c r="E41" s="21" t="n">
        <v>20000000</v>
      </c>
      <c r="F41" s="21" t="n">
        <v>25000000</v>
      </c>
      <c r="G41" s="21" t="n">
        <v>30000000</v>
      </c>
      <c r="H41" s="15" t="s">
        <v>95</v>
      </c>
    </row>
    <row r="42" customFormat="false" ht="15" hidden="false" customHeight="false" outlineLevel="0" collapsed="false">
      <c r="A42" s="6" t="s">
        <v>96</v>
      </c>
      <c r="B42" s="6" t="s">
        <v>23</v>
      </c>
      <c r="C42" s="21" t="n">
        <v>10000000</v>
      </c>
      <c r="D42" s="21" t="n">
        <v>15000000</v>
      </c>
      <c r="E42" s="21" t="n">
        <v>25000000</v>
      </c>
      <c r="F42" s="21" t="n">
        <v>30000000</v>
      </c>
      <c r="G42" s="21" t="n">
        <v>35000000</v>
      </c>
      <c r="H42" s="15" t="s">
        <v>97</v>
      </c>
    </row>
    <row r="43" customFormat="false" ht="15" hidden="false" customHeight="false" outlineLevel="0" collapsed="false">
      <c r="A43" s="6" t="s">
        <v>98</v>
      </c>
      <c r="B43" s="6" t="s">
        <v>23</v>
      </c>
      <c r="C43" s="21" t="n">
        <v>9000000</v>
      </c>
      <c r="D43" s="21" t="n">
        <v>12000000</v>
      </c>
      <c r="E43" s="21" t="n">
        <v>18000000</v>
      </c>
      <c r="F43" s="21" t="n">
        <v>24000000</v>
      </c>
      <c r="G43" s="21" t="n">
        <v>30000000</v>
      </c>
      <c r="H43" s="15"/>
    </row>
    <row r="44" customFormat="false" ht="15" hidden="false" customHeight="false" outlineLevel="0" collapsed="false">
      <c r="A44" s="6" t="s">
        <v>99</v>
      </c>
      <c r="B44" s="6" t="s">
        <v>18</v>
      </c>
      <c r="C44" s="20" t="n">
        <v>0.25</v>
      </c>
      <c r="H44" s="15" t="s">
        <v>100</v>
      </c>
    </row>
    <row r="45" customFormat="false" ht="15" hidden="false" customHeight="false" outlineLevel="0" collapsed="false">
      <c r="A45" s="6" t="s">
        <v>101</v>
      </c>
      <c r="B45" s="6" t="s">
        <v>102</v>
      </c>
      <c r="C45" s="21" t="n">
        <v>3</v>
      </c>
      <c r="H45" s="1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104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105</v>
      </c>
    </row>
    <row r="4" customFormat="false" ht="30" hidden="false" customHeight="true" outlineLevel="0" collapsed="false">
      <c r="A4" s="4" t="s">
        <v>106</v>
      </c>
      <c r="B4" s="4" t="s">
        <v>107</v>
      </c>
      <c r="C4" s="5" t="s">
        <v>108</v>
      </c>
    </row>
    <row r="5" customFormat="false" ht="15" hidden="false" customHeight="false" outlineLevel="0" collapsed="false">
      <c r="A5" s="6" t="s">
        <v>109</v>
      </c>
      <c r="B5" s="21" t="n">
        <v>25000000</v>
      </c>
      <c r="C5" s="15" t="s">
        <v>110</v>
      </c>
    </row>
    <row r="6" customFormat="false" ht="15" hidden="false" customHeight="false" outlineLevel="0" collapsed="false">
      <c r="A6" s="6" t="s">
        <v>111</v>
      </c>
      <c r="B6" s="21" t="n">
        <v>6000000</v>
      </c>
      <c r="C6" s="15"/>
    </row>
    <row r="7" customFormat="false" ht="15" hidden="false" customHeight="false" outlineLevel="0" collapsed="false">
      <c r="A7" s="6" t="s">
        <v>112</v>
      </c>
      <c r="B7" s="21" t="n">
        <v>5000000</v>
      </c>
      <c r="C7" s="15" t="s">
        <v>113</v>
      </c>
    </row>
    <row r="8" customFormat="false" ht="15" hidden="false" customHeight="false" outlineLevel="0" collapsed="false">
      <c r="A8" s="6" t="s">
        <v>114</v>
      </c>
      <c r="B8" s="21" t="n">
        <v>8000000</v>
      </c>
      <c r="C8" s="15" t="s">
        <v>115</v>
      </c>
    </row>
    <row r="9" customFormat="false" ht="15" hidden="false" customHeight="false" outlineLevel="0" collapsed="false">
      <c r="A9" s="6" t="s">
        <v>116</v>
      </c>
      <c r="B9" s="21" t="n">
        <v>6000000</v>
      </c>
      <c r="C9" s="15" t="s">
        <v>117</v>
      </c>
    </row>
    <row r="10" customFormat="false" ht="15" hidden="false" customHeight="false" outlineLevel="0" collapsed="false">
      <c r="A10" s="6" t="s">
        <v>118</v>
      </c>
      <c r="B10" s="21" t="n">
        <v>12000000</v>
      </c>
      <c r="C10" s="15"/>
    </row>
    <row r="11" customFormat="false" ht="15" hidden="false" customHeight="false" outlineLevel="0" collapsed="false">
      <c r="A11" s="13" t="s">
        <v>119</v>
      </c>
      <c r="B11" s="22" t="n">
        <f aca="false">SUM(B5:B10)</f>
        <v>62000000</v>
      </c>
    </row>
    <row r="12" customFormat="false" ht="15" hidden="false" customHeight="false" outlineLevel="0" collapsed="false">
      <c r="A12" s="6" t="s">
        <v>120</v>
      </c>
      <c r="B12" s="2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121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122</v>
      </c>
    </row>
    <row r="4" customFormat="false" ht="30" hidden="false" customHeight="true" outlineLevel="0" collapsed="false">
      <c r="A4" s="4" t="s">
        <v>123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124</v>
      </c>
    </row>
    <row r="5" customFormat="false" ht="15" hidden="false" customHeight="false" outlineLevel="0" collapsed="false">
      <c r="A5" s="11" t="s">
        <v>39</v>
      </c>
      <c r="B5" s="12"/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A6" s="6" t="s">
        <v>9</v>
      </c>
      <c r="B6" s="6" t="s">
        <v>10</v>
      </c>
      <c r="C6" s="7" t="n">
        <f aca="false">Hypothèses!C7</f>
        <v>25000</v>
      </c>
      <c r="D6" s="7" t="n">
        <f aca="false">Hypothèses!D7</f>
        <v>90000</v>
      </c>
      <c r="E6" s="7" t="n">
        <f aca="false">Hypothèses!E7</f>
        <v>220000</v>
      </c>
      <c r="F6" s="7" t="n">
        <f aca="false">Hypothèses!F7</f>
        <v>400000</v>
      </c>
      <c r="G6" s="7" t="n">
        <f aca="false">Hypothèses!G7</f>
        <v>650000</v>
      </c>
      <c r="H6" s="15"/>
    </row>
    <row r="7" customFormat="false" ht="15" hidden="false" customHeight="false" outlineLevel="0" collapsed="false">
      <c r="A7" s="6" t="s">
        <v>125</v>
      </c>
      <c r="B7" s="6" t="s">
        <v>10</v>
      </c>
      <c r="C7" s="24" t="n">
        <f aca="false">C6/2</f>
        <v>12500</v>
      </c>
      <c r="D7" s="24" t="n">
        <f aca="false">(C6+D6)/2</f>
        <v>57500</v>
      </c>
      <c r="E7" s="24" t="n">
        <f aca="false">(D6+E6)/2</f>
        <v>155000</v>
      </c>
      <c r="F7" s="24" t="n">
        <f aca="false">(E6+F6)/2</f>
        <v>310000</v>
      </c>
      <c r="G7" s="24" t="n">
        <f aca="false">(F6+G6)/2</f>
        <v>525000</v>
      </c>
      <c r="H7" s="15" t="s">
        <v>126</v>
      </c>
    </row>
    <row r="8" customFormat="false" ht="15" hidden="false" customHeight="false" outlineLevel="0" collapsed="false">
      <c r="A8" s="6" t="s">
        <v>127</v>
      </c>
      <c r="B8" s="6" t="s">
        <v>10</v>
      </c>
      <c r="C8" s="24" t="n">
        <f aca="false">C6</f>
        <v>25000</v>
      </c>
      <c r="D8" s="24" t="n">
        <f aca="false">D6-C6</f>
        <v>65000</v>
      </c>
      <c r="E8" s="24" t="n">
        <f aca="false">E6-D6</f>
        <v>130000</v>
      </c>
      <c r="F8" s="24" t="n">
        <f aca="false">F6-E6</f>
        <v>180000</v>
      </c>
      <c r="G8" s="24" t="n">
        <f aca="false">G6-F6</f>
        <v>250000</v>
      </c>
      <c r="H8" s="15"/>
    </row>
    <row r="9" customFormat="false" ht="15" hidden="false" customHeight="false" outlineLevel="0" collapsed="false">
      <c r="A9" s="6" t="s">
        <v>128</v>
      </c>
      <c r="B9" s="6" t="s">
        <v>10</v>
      </c>
      <c r="C9" s="24" t="n">
        <f aca="false">C7*Hypothèses!C8</f>
        <v>4375</v>
      </c>
      <c r="D9" s="24" t="n">
        <f aca="false">D7*Hypothèses!D8</f>
        <v>23000</v>
      </c>
      <c r="E9" s="24" t="n">
        <f aca="false">E7*Hypothèses!E8</f>
        <v>69750</v>
      </c>
      <c r="F9" s="24" t="n">
        <f aca="false">F7*Hypothèses!F8</f>
        <v>148800</v>
      </c>
      <c r="G9" s="24" t="n">
        <f aca="false">G7*Hypothèses!G8</f>
        <v>262500</v>
      </c>
      <c r="H9" s="15"/>
    </row>
    <row r="10" customFormat="false" ht="15" hidden="false" customHeight="false" outlineLevel="0" collapsed="false">
      <c r="A10" s="6" t="s">
        <v>129</v>
      </c>
      <c r="B10" s="6" t="s">
        <v>10</v>
      </c>
      <c r="C10" s="24" t="n">
        <f aca="false">C9*Hypothèses!C9</f>
        <v>131.25</v>
      </c>
      <c r="D10" s="24" t="n">
        <f aca="false">D9*Hypothèses!D9</f>
        <v>1150</v>
      </c>
      <c r="E10" s="24" t="n">
        <f aca="false">E9*Hypothèses!E9</f>
        <v>4882.5</v>
      </c>
      <c r="F10" s="24" t="n">
        <f aca="false">F9*Hypothèses!F9</f>
        <v>11904</v>
      </c>
      <c r="G10" s="24" t="n">
        <f aca="false">G9*Hypothèses!G9</f>
        <v>23625</v>
      </c>
      <c r="H10" s="15"/>
    </row>
    <row r="11" customFormat="false" ht="15" hidden="false" customHeight="false" outlineLevel="0" collapsed="false">
      <c r="A11" s="11" t="s">
        <v>130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A12" s="6" t="s">
        <v>12</v>
      </c>
      <c r="B12" s="6" t="s">
        <v>13</v>
      </c>
      <c r="C12" s="25" t="n">
        <f aca="false">C9*Hypothèses!C11*12</f>
        <v>1050000000</v>
      </c>
      <c r="D12" s="25" t="n">
        <f aca="false">D9*Hypothèses!D11*12</f>
        <v>6072000000</v>
      </c>
      <c r="E12" s="25" t="n">
        <f aca="false">E9*Hypothèses!E11*12</f>
        <v>20925000000</v>
      </c>
      <c r="F12" s="25" t="n">
        <f aca="false">F9*Hypothèses!F11*12</f>
        <v>48211200000</v>
      </c>
      <c r="G12" s="25" t="n">
        <f aca="false">G9*Hypothèses!G11*12</f>
        <v>94500000000</v>
      </c>
      <c r="H12" s="15" t="s">
        <v>131</v>
      </c>
    </row>
    <row r="13" customFormat="false" ht="15" hidden="false" customHeight="false" outlineLevel="0" collapsed="false">
      <c r="A13" s="6" t="s">
        <v>132</v>
      </c>
      <c r="B13" s="6" t="s">
        <v>13</v>
      </c>
      <c r="C13" s="25" t="n">
        <f aca="false">C12*Hypothèses!$C$12</f>
        <v>472500000</v>
      </c>
      <c r="D13" s="25" t="n">
        <f aca="false">D12*Hypothèses!$C$12</f>
        <v>2732400000</v>
      </c>
      <c r="E13" s="25" t="n">
        <f aca="false">E12*Hypothèses!$C$12</f>
        <v>9416250000</v>
      </c>
      <c r="F13" s="25" t="n">
        <f aca="false">F12*Hypothèses!$C$12</f>
        <v>21695040000</v>
      </c>
      <c r="G13" s="25" t="n">
        <f aca="false">G12*Hypothèses!$C$12</f>
        <v>42525000000</v>
      </c>
      <c r="H13" s="15"/>
    </row>
    <row r="14" customFormat="false" ht="15" hidden="false" customHeight="false" outlineLevel="0" collapsed="false">
      <c r="A14" s="6" t="s">
        <v>133</v>
      </c>
      <c r="B14" s="6" t="s">
        <v>13</v>
      </c>
      <c r="C14" s="25" t="n">
        <f aca="false">C13*(1-Hypothèses!$C$13)</f>
        <v>425250000</v>
      </c>
      <c r="D14" s="25" t="n">
        <f aca="false">D13*(1-Hypothèses!$C$13)</f>
        <v>2459160000</v>
      </c>
      <c r="E14" s="25" t="n">
        <f aca="false">E13*(1-Hypothèses!$C$13)</f>
        <v>8474625000</v>
      </c>
      <c r="F14" s="25" t="n">
        <f aca="false">F13*(1-Hypothèses!$C$13)</f>
        <v>19525536000</v>
      </c>
      <c r="G14" s="25" t="n">
        <f aca="false">G13*(1-Hypothèses!$C$13)</f>
        <v>38272500000</v>
      </c>
      <c r="H14" s="15"/>
    </row>
    <row r="15" customFormat="false" ht="15" hidden="false" customHeight="false" outlineLevel="0" collapsed="false">
      <c r="A15" s="6" t="s">
        <v>134</v>
      </c>
      <c r="B15" s="6" t="s">
        <v>13</v>
      </c>
      <c r="C15" s="25" t="n">
        <f aca="false">C9*Hypothèses!C14</f>
        <v>109375000</v>
      </c>
      <c r="D15" s="25" t="n">
        <f aca="false">D9*Hypothèses!D14</f>
        <v>690000000</v>
      </c>
      <c r="E15" s="25" t="n">
        <f aca="false">E9*Hypothèses!E14</f>
        <v>2441250000</v>
      </c>
      <c r="F15" s="25" t="n">
        <f aca="false">F9*Hypothèses!F14</f>
        <v>5952000000</v>
      </c>
      <c r="G15" s="25" t="n">
        <f aca="false">G9*Hypothèses!G14</f>
        <v>11812500000</v>
      </c>
      <c r="H15" s="15"/>
    </row>
    <row r="16" customFormat="false" ht="15" hidden="false" customHeight="false" outlineLevel="0" collapsed="false">
      <c r="A16" s="6" t="s">
        <v>135</v>
      </c>
      <c r="B16" s="6" t="s">
        <v>13</v>
      </c>
      <c r="C16" s="25" t="n">
        <f aca="false">C12*Hypothèses!C15</f>
        <v>157500000</v>
      </c>
      <c r="D16" s="25" t="n">
        <f aca="false">D12*Hypothèses!D15</f>
        <v>1092960000</v>
      </c>
      <c r="E16" s="25" t="n">
        <f aca="false">E12*Hypothèses!E15</f>
        <v>4185000000</v>
      </c>
      <c r="F16" s="25" t="n">
        <f aca="false">F12*Hypothèses!F15</f>
        <v>9642240000</v>
      </c>
      <c r="G16" s="25" t="n">
        <f aca="false">G12*Hypothèses!G15</f>
        <v>18900000000</v>
      </c>
      <c r="H16" s="15"/>
    </row>
    <row r="17" customFormat="false" ht="15" hidden="false" customHeight="false" outlineLevel="0" collapsed="false">
      <c r="A17" s="6" t="s">
        <v>136</v>
      </c>
      <c r="B17" s="6" t="s">
        <v>13</v>
      </c>
      <c r="C17" s="25" t="n">
        <f aca="false">C15*Hypothèses!$C$16*Hypothèses!$C$17</f>
        <v>4921875</v>
      </c>
      <c r="D17" s="25" t="n">
        <f aca="false">D15*Hypothèses!$C$16*Hypothèses!$C$17</f>
        <v>31050000</v>
      </c>
      <c r="E17" s="25" t="n">
        <f aca="false">E15*Hypothèses!$C$16*Hypothèses!$C$17</f>
        <v>109856250</v>
      </c>
      <c r="F17" s="25" t="n">
        <f aca="false">F15*Hypothèses!$C$16*Hypothèses!$C$17</f>
        <v>267840000</v>
      </c>
      <c r="G17" s="25" t="n">
        <f aca="false">G15*Hypothèses!$C$16*Hypothèses!$C$17</f>
        <v>531562500</v>
      </c>
      <c r="H17" s="15"/>
    </row>
    <row r="18" customFormat="false" ht="15" hidden="false" customHeight="false" outlineLevel="0" collapsed="false">
      <c r="A18" s="11" t="s">
        <v>137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6" t="s">
        <v>59</v>
      </c>
      <c r="B19" s="6" t="s">
        <v>13</v>
      </c>
      <c r="C19" s="25" t="n">
        <f aca="false">C14*Hypothèses!$C$19</f>
        <v>6378750</v>
      </c>
      <c r="D19" s="25" t="n">
        <f aca="false">D14*Hypothèses!$C$19</f>
        <v>36887400</v>
      </c>
      <c r="E19" s="25" t="n">
        <f aca="false">E14*Hypothèses!$C$19</f>
        <v>127119375</v>
      </c>
      <c r="F19" s="25" t="n">
        <f aca="false">F14*Hypothèses!$C$19</f>
        <v>292883040</v>
      </c>
      <c r="G19" s="25" t="n">
        <f aca="false">G14*Hypothèses!$C$19</f>
        <v>574087500</v>
      </c>
      <c r="H19" s="15"/>
    </row>
    <row r="20" customFormat="false" ht="15" hidden="false" customHeight="false" outlineLevel="0" collapsed="false">
      <c r="A20" s="6" t="s">
        <v>138</v>
      </c>
      <c r="B20" s="6" t="s">
        <v>13</v>
      </c>
      <c r="C20" s="25" t="n">
        <f aca="false">C16*Hypothèses!$C$20</f>
        <v>1575000</v>
      </c>
      <c r="D20" s="25" t="n">
        <f aca="false">D16*Hypothèses!$C$20</f>
        <v>10929600</v>
      </c>
      <c r="E20" s="25" t="n">
        <f aca="false">E16*Hypothèses!$C$20</f>
        <v>41850000</v>
      </c>
      <c r="F20" s="25" t="n">
        <f aca="false">F16*Hypothèses!$C$20</f>
        <v>96422400</v>
      </c>
      <c r="G20" s="25" t="n">
        <f aca="false">G16*Hypothèses!$C$20</f>
        <v>189000000</v>
      </c>
      <c r="H20" s="15"/>
    </row>
    <row r="21" customFormat="false" ht="15" hidden="false" customHeight="false" outlineLevel="0" collapsed="false">
      <c r="A21" s="6" t="s">
        <v>139</v>
      </c>
      <c r="B21" s="6" t="s">
        <v>13</v>
      </c>
      <c r="C21" s="25" t="n">
        <f aca="false">C17*Hypothèses!$C$21</f>
        <v>98437.5</v>
      </c>
      <c r="D21" s="25" t="n">
        <f aca="false">D17*Hypothèses!$C$21</f>
        <v>621000</v>
      </c>
      <c r="E21" s="25" t="n">
        <f aca="false">E17*Hypothèses!$C$21</f>
        <v>2197125</v>
      </c>
      <c r="F21" s="25" t="n">
        <f aca="false">F17*Hypothèses!$C$21</f>
        <v>5356800</v>
      </c>
      <c r="G21" s="25" t="n">
        <f aca="false">G17*Hypothèses!$C$21</f>
        <v>10631250</v>
      </c>
      <c r="H21" s="15"/>
    </row>
    <row r="22" customFormat="false" ht="15" hidden="false" customHeight="false" outlineLevel="0" collapsed="false">
      <c r="A22" s="6" t="s">
        <v>140</v>
      </c>
      <c r="B22" s="6" t="s">
        <v>13</v>
      </c>
      <c r="C22" s="25" t="n">
        <f aca="false">C10*Hypothèses!$C$22*12</f>
        <v>1575000</v>
      </c>
      <c r="D22" s="25" t="n">
        <f aca="false">D10*Hypothèses!$C$22*12</f>
        <v>13800000</v>
      </c>
      <c r="E22" s="25" t="n">
        <f aca="false">E10*Hypothèses!$C$22*12</f>
        <v>58590000</v>
      </c>
      <c r="F22" s="25" t="n">
        <f aca="false">F10*Hypothèses!$C$22*12</f>
        <v>142848000</v>
      </c>
      <c r="G22" s="25" t="n">
        <f aca="false">G10*Hypothèses!$C$22*12</f>
        <v>283500000</v>
      </c>
      <c r="H22" s="15"/>
    </row>
    <row r="23" customFormat="false" ht="15" hidden="false" customHeight="false" outlineLevel="0" collapsed="false">
      <c r="A23" s="6" t="s">
        <v>141</v>
      </c>
      <c r="B23" s="6" t="s">
        <v>13</v>
      </c>
      <c r="C23" s="25" t="n">
        <f aca="false">C15*Hypothèses!$C$23</f>
        <v>3281250</v>
      </c>
      <c r="D23" s="25" t="n">
        <f aca="false">D15*Hypothèses!$C$23</f>
        <v>20700000</v>
      </c>
      <c r="E23" s="25" t="n">
        <f aca="false">E15*Hypothèses!$C$23</f>
        <v>73237500</v>
      </c>
      <c r="F23" s="25" t="n">
        <f aca="false">F15*Hypothèses!$C$23</f>
        <v>178560000</v>
      </c>
      <c r="G23" s="25" t="n">
        <f aca="false">G15*Hypothèses!$C$23</f>
        <v>354375000</v>
      </c>
      <c r="H23" s="15"/>
    </row>
    <row r="24" customFormat="false" ht="15" hidden="false" customHeight="false" outlineLevel="0" collapsed="false">
      <c r="A24" s="6" t="s">
        <v>142</v>
      </c>
      <c r="B24" s="6" t="s">
        <v>13</v>
      </c>
      <c r="C24" s="25" t="n">
        <f aca="false">C9*Hypothèses!C24</f>
        <v>0</v>
      </c>
      <c r="D24" s="25" t="n">
        <f aca="false">D9*Hypothèses!D24</f>
        <v>11500000</v>
      </c>
      <c r="E24" s="25" t="n">
        <f aca="false">E9*Hypothèses!E24</f>
        <v>69750000</v>
      </c>
      <c r="F24" s="25" t="n">
        <f aca="false">F9*Hypothèses!F24</f>
        <v>223200000</v>
      </c>
      <c r="G24" s="25" t="n">
        <f aca="false">G9*Hypothèses!G24</f>
        <v>525000000</v>
      </c>
      <c r="H24" s="15"/>
    </row>
    <row r="25" customFormat="false" ht="15" hidden="false" customHeight="false" outlineLevel="0" collapsed="false">
      <c r="A25" s="13" t="s">
        <v>15</v>
      </c>
      <c r="B25" s="6" t="s">
        <v>13</v>
      </c>
      <c r="C25" s="26" t="n">
        <f aca="false">SUM(C19:C24)</f>
        <v>12908437.5</v>
      </c>
      <c r="D25" s="26" t="n">
        <f aca="false">SUM(D19:D24)</f>
        <v>94438000</v>
      </c>
      <c r="E25" s="26" t="n">
        <f aca="false">SUM(E19:E24)</f>
        <v>372744000</v>
      </c>
      <c r="F25" s="26" t="n">
        <f aca="false">SUM(F19:F24)</f>
        <v>939270240</v>
      </c>
      <c r="G25" s="26" t="n">
        <f aca="false">SUM(G19:G24)</f>
        <v>1936593750</v>
      </c>
      <c r="H25" s="15"/>
    </row>
    <row r="26" customFormat="false" ht="15" hidden="false" customHeight="false" outlineLevel="0" collapsed="false">
      <c r="A26" s="11" t="s">
        <v>68</v>
      </c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6" t="s">
        <v>143</v>
      </c>
      <c r="B27" s="6" t="s">
        <v>13</v>
      </c>
      <c r="C27" s="25" t="n">
        <f aca="false">C12*Hypothèses!C26</f>
        <v>10500000</v>
      </c>
      <c r="D27" s="25" t="n">
        <f aca="false">D12*Hypothèses!D26</f>
        <v>54648000</v>
      </c>
      <c r="E27" s="25" t="n">
        <f aca="false">E12*Hypothèses!E26</f>
        <v>167400000</v>
      </c>
      <c r="F27" s="25" t="n">
        <f aca="false">F12*Hypothèses!F26</f>
        <v>385689600</v>
      </c>
      <c r="G27" s="25" t="n">
        <f aca="false">G12*Hypothèses!G26</f>
        <v>661500000</v>
      </c>
      <c r="H27" s="15"/>
    </row>
    <row r="28" customFormat="false" ht="15" hidden="false" customHeight="false" outlineLevel="0" collapsed="false">
      <c r="A28" s="6" t="s">
        <v>144</v>
      </c>
      <c r="B28" s="6" t="s">
        <v>13</v>
      </c>
      <c r="C28" s="25" t="n">
        <f aca="false">C13*Hypothèses!C27</f>
        <v>2835000</v>
      </c>
      <c r="D28" s="25" t="n">
        <f aca="false">D13*Hypothèses!D27</f>
        <v>13662000</v>
      </c>
      <c r="E28" s="25" t="n">
        <f aca="false">E13*Hypothèses!E27</f>
        <v>47081250</v>
      </c>
      <c r="F28" s="25" t="n">
        <f aca="false">F13*Hypothèses!F27</f>
        <v>86780160</v>
      </c>
      <c r="G28" s="25" t="n">
        <f aca="false">G13*Hypothèses!G27</f>
        <v>170100000</v>
      </c>
      <c r="H28" s="15"/>
    </row>
    <row r="29" customFormat="false" ht="15" hidden="false" customHeight="false" outlineLevel="0" collapsed="false">
      <c r="A29" s="6" t="s">
        <v>145</v>
      </c>
      <c r="B29" s="6" t="s">
        <v>13</v>
      </c>
      <c r="C29" s="25" t="n">
        <f aca="false">C9*Hypothèses!$C$28*12*Hypothèses!$C$29</f>
        <v>1575000</v>
      </c>
      <c r="D29" s="25" t="n">
        <f aca="false">D9*Hypothèses!$C$28*12*Hypothèses!$C$29</f>
        <v>8280000</v>
      </c>
      <c r="E29" s="25" t="n">
        <f aca="false">E9*Hypothèses!$C$28*12*Hypothèses!$C$29</f>
        <v>25110000</v>
      </c>
      <c r="F29" s="25" t="n">
        <f aca="false">F9*Hypothèses!$C$28*12*Hypothèses!$C$29</f>
        <v>53568000</v>
      </c>
      <c r="G29" s="25" t="n">
        <f aca="false">G9*Hypothèses!$C$28*12*Hypothèses!$C$29</f>
        <v>94500000</v>
      </c>
      <c r="H29" s="15"/>
    </row>
    <row r="30" customFormat="false" ht="15" hidden="false" customHeight="false" outlineLevel="0" collapsed="false">
      <c r="A30" s="6" t="s">
        <v>146</v>
      </c>
      <c r="B30" s="6" t="s">
        <v>13</v>
      </c>
      <c r="C30" s="25" t="n">
        <f aca="false">C8*Hypothèses!$C$30*Hypothèses!$C$31</f>
        <v>3000000</v>
      </c>
      <c r="D30" s="25" t="n">
        <f aca="false">D8*Hypothèses!$C$30*Hypothèses!$C$31</f>
        <v>7800000</v>
      </c>
      <c r="E30" s="25" t="n">
        <f aca="false">E8*Hypothèses!$C$30*Hypothèses!$C$31</f>
        <v>15600000</v>
      </c>
      <c r="F30" s="25" t="n">
        <f aca="false">F8*Hypothèses!$C$30*Hypothèses!$C$31</f>
        <v>21600000</v>
      </c>
      <c r="G30" s="25" t="n">
        <f aca="false">G8*Hypothèses!$C$30*Hypothèses!$C$31</f>
        <v>30000000</v>
      </c>
      <c r="H30" s="15"/>
    </row>
    <row r="31" customFormat="false" ht="15" hidden="false" customHeight="false" outlineLevel="0" collapsed="false">
      <c r="A31" s="6" t="s">
        <v>147</v>
      </c>
      <c r="B31" s="6" t="s">
        <v>13</v>
      </c>
      <c r="C31" s="25" t="n">
        <f aca="false">C8*Hypothèses!$C$32*Hypothèses!$C$33</f>
        <v>3750000</v>
      </c>
      <c r="D31" s="25" t="n">
        <f aca="false">D8*Hypothèses!$C$32*Hypothèses!$C$33</f>
        <v>9750000</v>
      </c>
      <c r="E31" s="25" t="n">
        <f aca="false">E8*Hypothèses!$C$32*Hypothèses!$C$33</f>
        <v>19500000</v>
      </c>
      <c r="F31" s="25" t="n">
        <f aca="false">F8*Hypothèses!$C$32*Hypothèses!$C$33</f>
        <v>27000000</v>
      </c>
      <c r="G31" s="25" t="n">
        <f aca="false">G8*Hypothèses!$C$32*Hypothèses!$C$33</f>
        <v>37500000</v>
      </c>
      <c r="H31" s="15"/>
    </row>
    <row r="32" customFormat="false" ht="15" hidden="false" customHeight="false" outlineLevel="0" collapsed="false">
      <c r="A32" s="13" t="s">
        <v>148</v>
      </c>
      <c r="B32" s="6" t="s">
        <v>13</v>
      </c>
      <c r="C32" s="26" t="n">
        <f aca="false">SUM(C27:C31)</f>
        <v>21660000</v>
      </c>
      <c r="D32" s="26" t="n">
        <f aca="false">SUM(D27:D31)</f>
        <v>94140000</v>
      </c>
      <c r="E32" s="26" t="n">
        <f aca="false">SUM(E27:E31)</f>
        <v>274691250</v>
      </c>
      <c r="F32" s="26" t="n">
        <f aca="false">SUM(F27:F31)</f>
        <v>574637760</v>
      </c>
      <c r="G32" s="26" t="n">
        <f aca="false">SUM(G27:G31)</f>
        <v>993600000</v>
      </c>
      <c r="H32" s="15"/>
    </row>
    <row r="33" customFormat="false" ht="15" hidden="false" customHeight="false" outlineLevel="0" collapsed="false">
      <c r="A33" s="13" t="s">
        <v>16</v>
      </c>
      <c r="B33" s="6" t="s">
        <v>13</v>
      </c>
      <c r="C33" s="14" t="n">
        <f aca="false">C25-C32</f>
        <v>-8751562.5</v>
      </c>
      <c r="D33" s="14" t="n">
        <f aca="false">D25-D32</f>
        <v>298000</v>
      </c>
      <c r="E33" s="14" t="n">
        <f aca="false">E25-E32</f>
        <v>98052750</v>
      </c>
      <c r="F33" s="14" t="n">
        <f aca="false">F25-F32</f>
        <v>364632480</v>
      </c>
      <c r="G33" s="14" t="n">
        <f aca="false">G25-G32</f>
        <v>942993750</v>
      </c>
      <c r="H33" s="15"/>
    </row>
    <row r="34" customFormat="false" ht="15" hidden="false" customHeight="false" outlineLevel="0" collapsed="false">
      <c r="A34" s="6" t="s">
        <v>17</v>
      </c>
      <c r="B34" s="6" t="s">
        <v>18</v>
      </c>
      <c r="C34" s="27" t="n">
        <f aca="false">IF(C25=0,0,C33/C25)</f>
        <v>-0.677972256518266</v>
      </c>
      <c r="D34" s="27" t="n">
        <f aca="false">IF(D25=0,0,D33/D25)</f>
        <v>0.00315550943476143</v>
      </c>
      <c r="E34" s="27" t="n">
        <f aca="false">IF(E25=0,0,E33/E25)</f>
        <v>0.263056548193935</v>
      </c>
      <c r="F34" s="27" t="n">
        <f aca="false">IF(F25=0,0,F33/F25)</f>
        <v>0.388208275394736</v>
      </c>
      <c r="G34" s="27" t="n">
        <f aca="false">IF(G25=0,0,G33/G25)</f>
        <v>0.486934211163286</v>
      </c>
      <c r="H34" s="15"/>
    </row>
    <row r="35" customFormat="false" ht="15" hidden="false" customHeight="false" outlineLevel="0" collapsed="false">
      <c r="A35" s="11" t="s">
        <v>83</v>
      </c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6" t="s">
        <v>149</v>
      </c>
      <c r="B36" s="6" t="s">
        <v>13</v>
      </c>
      <c r="C36" s="8" t="n">
        <f aca="false">Hypothèses!C35*Hypothèses!C36</f>
        <v>57600000</v>
      </c>
      <c r="D36" s="8" t="n">
        <f aca="false">Hypothèses!D35*Hypothèses!D36</f>
        <v>105840000</v>
      </c>
      <c r="E36" s="8" t="n">
        <f aca="false">Hypothèses!E35*Hypothèses!E36</f>
        <v>174636000</v>
      </c>
      <c r="F36" s="8" t="n">
        <f aca="false">Hypothèses!F35*Hypothèses!F36</f>
        <v>266720000</v>
      </c>
      <c r="G36" s="8" t="n">
        <f aca="false">Hypothèses!G35*Hypothèses!G36</f>
        <v>367584000</v>
      </c>
      <c r="H36" s="15"/>
    </row>
    <row r="37" customFormat="false" ht="15" hidden="false" customHeight="false" outlineLevel="0" collapsed="false">
      <c r="A37" s="6" t="s">
        <v>150</v>
      </c>
      <c r="B37" s="6" t="s">
        <v>13</v>
      </c>
      <c r="C37" s="25" t="n">
        <f aca="false">C8*Hypothèses!C37</f>
        <v>37500000</v>
      </c>
      <c r="D37" s="25" t="n">
        <f aca="false">D8*Hypothèses!D37</f>
        <v>84500000</v>
      </c>
      <c r="E37" s="25" t="n">
        <f aca="false">E8*Hypothèses!E37</f>
        <v>156000000</v>
      </c>
      <c r="F37" s="25" t="n">
        <f aca="false">F8*Hypothèses!F37</f>
        <v>198000000</v>
      </c>
      <c r="G37" s="25" t="n">
        <f aca="false">G8*Hypothèses!G37</f>
        <v>250000000</v>
      </c>
      <c r="H37" s="15" t="s">
        <v>151</v>
      </c>
    </row>
    <row r="38" customFormat="false" ht="15" hidden="false" customHeight="false" outlineLevel="0" collapsed="false">
      <c r="A38" s="6" t="s">
        <v>152</v>
      </c>
      <c r="B38" s="6" t="s">
        <v>13</v>
      </c>
      <c r="C38" s="8" t="n">
        <f aca="false">Hypothèses!C38</f>
        <v>15000000</v>
      </c>
      <c r="D38" s="8" t="n">
        <f aca="false">Hypothèses!D38</f>
        <v>30000000</v>
      </c>
      <c r="E38" s="8" t="n">
        <f aca="false">Hypothèses!E38</f>
        <v>50000000</v>
      </c>
      <c r="F38" s="8" t="n">
        <f aca="false">Hypothèses!F38</f>
        <v>70000000</v>
      </c>
      <c r="G38" s="8" t="n">
        <f aca="false">Hypothèses!G38</f>
        <v>90000000</v>
      </c>
      <c r="H38" s="15"/>
    </row>
    <row r="39" customFormat="false" ht="15" hidden="false" customHeight="false" outlineLevel="0" collapsed="false">
      <c r="A39" s="6" t="s">
        <v>153</v>
      </c>
      <c r="B39" s="6" t="s">
        <v>13</v>
      </c>
      <c r="C39" s="8" t="n">
        <f aca="false">Hypothèses!C39+C9*Hypothèses!$C$40</f>
        <v>6525000</v>
      </c>
      <c r="D39" s="8" t="n">
        <f aca="false">Hypothèses!D39+D9*Hypothèses!$C$40</f>
        <v>11760000</v>
      </c>
      <c r="E39" s="8" t="n">
        <f aca="false">Hypothèses!E39+E9*Hypothèses!$C$40</f>
        <v>23370000</v>
      </c>
      <c r="F39" s="8" t="n">
        <f aca="false">Hypothèses!F39+F9*Hypothèses!$C$40</f>
        <v>39856000</v>
      </c>
      <c r="G39" s="8" t="n">
        <f aca="false">Hypothèses!G39+G9*Hypothèses!$C$40</f>
        <v>61500000</v>
      </c>
      <c r="H39" s="15"/>
    </row>
    <row r="40" customFormat="false" ht="15" hidden="false" customHeight="false" outlineLevel="0" collapsed="false">
      <c r="A40" s="6" t="s">
        <v>154</v>
      </c>
      <c r="B40" s="6" t="s">
        <v>13</v>
      </c>
      <c r="C40" s="8" t="n">
        <f aca="false">Hypothèses!C41</f>
        <v>12000000</v>
      </c>
      <c r="D40" s="8" t="n">
        <f aca="false">Hypothèses!D41</f>
        <v>15000000</v>
      </c>
      <c r="E40" s="8" t="n">
        <f aca="false">Hypothèses!E41</f>
        <v>20000000</v>
      </c>
      <c r="F40" s="8" t="n">
        <f aca="false">Hypothèses!F41</f>
        <v>25000000</v>
      </c>
      <c r="G40" s="8" t="n">
        <f aca="false">Hypothèses!G41</f>
        <v>30000000</v>
      </c>
      <c r="H40" s="15"/>
    </row>
    <row r="41" customFormat="false" ht="15" hidden="false" customHeight="false" outlineLevel="0" collapsed="false">
      <c r="A41" s="6" t="s">
        <v>155</v>
      </c>
      <c r="B41" s="6" t="s">
        <v>13</v>
      </c>
      <c r="C41" s="8" t="n">
        <f aca="false">Hypothèses!C42</f>
        <v>10000000</v>
      </c>
      <c r="D41" s="8" t="n">
        <f aca="false">Hypothèses!D42</f>
        <v>15000000</v>
      </c>
      <c r="E41" s="8" t="n">
        <f aca="false">Hypothèses!E42</f>
        <v>25000000</v>
      </c>
      <c r="F41" s="8" t="n">
        <f aca="false">Hypothèses!F42</f>
        <v>30000000</v>
      </c>
      <c r="G41" s="8" t="n">
        <f aca="false">Hypothèses!G42</f>
        <v>35000000</v>
      </c>
      <c r="H41" s="15"/>
    </row>
    <row r="42" customFormat="false" ht="15" hidden="false" customHeight="false" outlineLevel="0" collapsed="false">
      <c r="A42" s="6" t="s">
        <v>98</v>
      </c>
      <c r="B42" s="6" t="s">
        <v>13</v>
      </c>
      <c r="C42" s="8" t="n">
        <f aca="false">Hypothèses!C43</f>
        <v>9000000</v>
      </c>
      <c r="D42" s="8" t="n">
        <f aca="false">Hypothèses!D43</f>
        <v>12000000</v>
      </c>
      <c r="E42" s="8" t="n">
        <f aca="false">Hypothèses!E43</f>
        <v>18000000</v>
      </c>
      <c r="F42" s="8" t="n">
        <f aca="false">Hypothèses!F43</f>
        <v>24000000</v>
      </c>
      <c r="G42" s="8" t="n">
        <f aca="false">Hypothèses!G43</f>
        <v>30000000</v>
      </c>
      <c r="H42" s="15"/>
    </row>
    <row r="43" customFormat="false" ht="15" hidden="false" customHeight="false" outlineLevel="0" collapsed="false">
      <c r="A43" s="13" t="s">
        <v>156</v>
      </c>
      <c r="B43" s="6" t="s">
        <v>13</v>
      </c>
      <c r="C43" s="26" t="n">
        <f aca="false">SUM(C36:C42)</f>
        <v>147625000</v>
      </c>
      <c r="D43" s="26" t="n">
        <f aca="false">SUM(D36:D42)</f>
        <v>274100000</v>
      </c>
      <c r="E43" s="26" t="n">
        <f aca="false">SUM(E36:E42)</f>
        <v>467006000</v>
      </c>
      <c r="F43" s="26" t="n">
        <f aca="false">SUM(F36:F42)</f>
        <v>653576000</v>
      </c>
      <c r="G43" s="26" t="n">
        <f aca="false">SUM(G36:G42)</f>
        <v>864084000</v>
      </c>
      <c r="H43" s="15"/>
    </row>
    <row r="44" customFormat="false" ht="15" hidden="false" customHeight="false" outlineLevel="0" collapsed="false">
      <c r="A44" s="11" t="s">
        <v>157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13" t="s">
        <v>19</v>
      </c>
      <c r="B45" s="6" t="s">
        <v>13</v>
      </c>
      <c r="C45" s="14" t="n">
        <f aca="false">C33-C43</f>
        <v>-156376562.5</v>
      </c>
      <c r="D45" s="14" t="n">
        <f aca="false">D33-D43</f>
        <v>-273802000</v>
      </c>
      <c r="E45" s="14" t="n">
        <f aca="false">E33-E43</f>
        <v>-368953250</v>
      </c>
      <c r="F45" s="14" t="n">
        <f aca="false">F33-F43</f>
        <v>-288943520</v>
      </c>
      <c r="G45" s="14" t="n">
        <f aca="false">G33-G43</f>
        <v>78909750</v>
      </c>
      <c r="H45" s="15"/>
    </row>
    <row r="46" customFormat="false" ht="15" hidden="false" customHeight="false" outlineLevel="0" collapsed="false">
      <c r="A46" s="6" t="s">
        <v>158</v>
      </c>
      <c r="B46" s="6" t="s">
        <v>18</v>
      </c>
      <c r="C46" s="27" t="n">
        <f aca="false">IF(C25=0,0,C45/C25)</f>
        <v>-12.1142905560801</v>
      </c>
      <c r="D46" s="27" t="n">
        <f aca="false">IF(D25=0,0,D45/D25)</f>
        <v>-2.89927783307567</v>
      </c>
      <c r="E46" s="27" t="n">
        <f aca="false">IF(E25=0,0,E45/E25)</f>
        <v>-0.989830151524907</v>
      </c>
      <c r="F46" s="27" t="n">
        <f aca="false">IF(F25=0,0,F45/F25)</f>
        <v>-0.307625545551193</v>
      </c>
      <c r="G46" s="27" t="n">
        <f aca="false">IF(G25=0,0,G45/G25)</f>
        <v>0.0407466718303723</v>
      </c>
      <c r="H46" s="15"/>
    </row>
    <row r="47" customFormat="false" ht="15" hidden="false" customHeight="false" outlineLevel="0" collapsed="false">
      <c r="A47" s="6" t="s">
        <v>159</v>
      </c>
      <c r="B47" s="6" t="s">
        <v>13</v>
      </c>
      <c r="C47" s="25" t="n">
        <f aca="false">IF(1&lt;=Investissement!$B$12,Investissement!$B$11/Investissement!$B$12,0)</f>
        <v>20666666.6666667</v>
      </c>
      <c r="D47" s="25" t="n">
        <f aca="false">IF(2&lt;=Investissement!$B$12,Investissement!$B$11/Investissement!$B$12,0)</f>
        <v>20666666.6666667</v>
      </c>
      <c r="E47" s="25" t="n">
        <f aca="false">IF(3&lt;=Investissement!$B$12,Investissement!$B$11/Investissement!$B$12,0)</f>
        <v>20666666.6666667</v>
      </c>
      <c r="F47" s="25" t="n">
        <f aca="false">IF(4&lt;=Investissement!$B$12,Investissement!$B$11/Investissement!$B$12,0)</f>
        <v>0</v>
      </c>
      <c r="G47" s="25" t="n">
        <f aca="false">IF(5&lt;=Investissement!$B$12,Investissement!$B$11/Investissement!$B$12,0)</f>
        <v>0</v>
      </c>
      <c r="H47" s="15" t="s">
        <v>160</v>
      </c>
    </row>
    <row r="48" customFormat="false" ht="15" hidden="false" customHeight="false" outlineLevel="0" collapsed="false">
      <c r="A48" s="6" t="s">
        <v>161</v>
      </c>
      <c r="B48" s="6" t="s">
        <v>13</v>
      </c>
      <c r="C48" s="25" t="n">
        <f aca="false">C45-C47</f>
        <v>-177043229.166667</v>
      </c>
      <c r="D48" s="25" t="n">
        <f aca="false">D45-D47</f>
        <v>-294468666.666667</v>
      </c>
      <c r="E48" s="25" t="n">
        <f aca="false">E45-E47</f>
        <v>-389619916.666667</v>
      </c>
      <c r="F48" s="25" t="n">
        <f aca="false">F45-F47</f>
        <v>-288943520</v>
      </c>
      <c r="G48" s="25" t="n">
        <f aca="false">G45-G47</f>
        <v>78909750</v>
      </c>
      <c r="H48" s="15"/>
    </row>
    <row r="49" customFormat="false" ht="15" hidden="false" customHeight="false" outlineLevel="0" collapsed="false">
      <c r="A49" s="6" t="s">
        <v>99</v>
      </c>
      <c r="B49" s="6" t="s">
        <v>13</v>
      </c>
      <c r="C49" s="25" t="n">
        <f aca="false">MAX(0,C48)*Hypothèses!$C$44</f>
        <v>0</v>
      </c>
      <c r="D49" s="25" t="n">
        <f aca="false">MAX(0,D48)*Hypothèses!$C$44</f>
        <v>0</v>
      </c>
      <c r="E49" s="25" t="n">
        <f aca="false">MAX(0,E48)*Hypothèses!$C$44</f>
        <v>0</v>
      </c>
      <c r="F49" s="25" t="n">
        <f aca="false">MAX(0,F48)*Hypothèses!$C$44</f>
        <v>0</v>
      </c>
      <c r="G49" s="25" t="n">
        <f aca="false">MAX(0,G48)*Hypothèses!$C$44</f>
        <v>19727437.5</v>
      </c>
      <c r="H49" s="15"/>
    </row>
    <row r="50" customFormat="false" ht="15" hidden="false" customHeight="false" outlineLevel="0" collapsed="false">
      <c r="A50" s="13" t="s">
        <v>20</v>
      </c>
      <c r="B50" s="6" t="s">
        <v>13</v>
      </c>
      <c r="C50" s="26" t="n">
        <f aca="false">C48-C49</f>
        <v>-177043229.166667</v>
      </c>
      <c r="D50" s="26" t="n">
        <f aca="false">D48-D49</f>
        <v>-294468666.666667</v>
      </c>
      <c r="E50" s="26" t="n">
        <f aca="false">E48-E49</f>
        <v>-389619916.666667</v>
      </c>
      <c r="F50" s="26" t="n">
        <f aca="false">F48-F49</f>
        <v>-288943520</v>
      </c>
      <c r="G50" s="26" t="n">
        <f aca="false">G48-G49</f>
        <v>59182312.5</v>
      </c>
      <c r="H50" s="15"/>
    </row>
    <row r="51" customFormat="false" ht="15" hidden="false" customHeight="false" outlineLevel="0" collapsed="false">
      <c r="A51" s="11" t="s">
        <v>162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6" t="s">
        <v>32</v>
      </c>
      <c r="B52" s="6" t="s">
        <v>13</v>
      </c>
      <c r="C52" s="25" t="n">
        <f aca="false">-Investissement!$B$11</f>
        <v>-62000000</v>
      </c>
      <c r="D52" s="25" t="n">
        <f aca="false">0</f>
        <v>0</v>
      </c>
      <c r="E52" s="25" t="n">
        <f aca="false">0</f>
        <v>0</v>
      </c>
      <c r="F52" s="25" t="n">
        <f aca="false">0</f>
        <v>0</v>
      </c>
      <c r="G52" s="25" t="n">
        <f aca="false">0</f>
        <v>0</v>
      </c>
      <c r="H52" s="15"/>
    </row>
    <row r="53" customFormat="false" ht="15" hidden="false" customHeight="false" outlineLevel="0" collapsed="false">
      <c r="A53" s="6" t="s">
        <v>163</v>
      </c>
      <c r="B53" s="6" t="s">
        <v>13</v>
      </c>
      <c r="C53" s="25" t="n">
        <f aca="false">C50+C47+C52</f>
        <v>-218376562.5</v>
      </c>
      <c r="D53" s="25" t="n">
        <f aca="false">D50+D47+D52</f>
        <v>-273802000</v>
      </c>
      <c r="E53" s="25" t="n">
        <f aca="false">E50+E47+E52</f>
        <v>-368953250</v>
      </c>
      <c r="F53" s="25" t="n">
        <f aca="false">F50+F47+F52</f>
        <v>-288943520</v>
      </c>
      <c r="G53" s="25" t="n">
        <f aca="false">G50+G47+G52</f>
        <v>59182312.5</v>
      </c>
      <c r="H53" s="15" t="s">
        <v>164</v>
      </c>
    </row>
    <row r="54" customFormat="false" ht="15" hidden="false" customHeight="false" outlineLevel="0" collapsed="false">
      <c r="A54" s="13" t="s">
        <v>21</v>
      </c>
      <c r="B54" s="6" t="s">
        <v>13</v>
      </c>
      <c r="C54" s="14" t="n">
        <f aca="false">C53</f>
        <v>-218376562.5</v>
      </c>
      <c r="D54" s="14" t="n">
        <f aca="false">C54+D53</f>
        <v>-492178562.5</v>
      </c>
      <c r="E54" s="14" t="n">
        <f aca="false">D54+E53</f>
        <v>-861131812.5</v>
      </c>
      <c r="F54" s="14" t="n">
        <f aca="false">E54+F53</f>
        <v>-1150075332.5</v>
      </c>
      <c r="G54" s="14" t="n">
        <f aca="false">F54+G53</f>
        <v>-1090893020</v>
      </c>
      <c r="H54" s="15"/>
    </row>
    <row r="55" customFormat="false" ht="15" hidden="false" customHeight="false" outlineLevel="0" collapsed="false">
      <c r="A55" s="6" t="s">
        <v>165</v>
      </c>
      <c r="B55" s="6" t="s">
        <v>166</v>
      </c>
      <c r="C55" s="24" t="n">
        <f aca="false">IF(C45&gt;0,1,0)</f>
        <v>0</v>
      </c>
      <c r="D55" s="24" t="n">
        <f aca="false">IF(D45&gt;0,1,0)</f>
        <v>0</v>
      </c>
      <c r="E55" s="24" t="n">
        <f aca="false">IF(E45&gt;0,1,0)</f>
        <v>0</v>
      </c>
      <c r="F55" s="24" t="n">
        <f aca="false">IF(F45&gt;0,1,0)</f>
        <v>0</v>
      </c>
      <c r="G55" s="24" t="n">
        <f aca="false">IF(G45&gt;0,1,0)</f>
        <v>1</v>
      </c>
      <c r="H55" s="15"/>
    </row>
    <row r="56" customFormat="false" ht="15" hidden="false" customHeight="false" outlineLevel="0" collapsed="false">
      <c r="A56" s="11" t="s">
        <v>167</v>
      </c>
      <c r="B56" s="12"/>
      <c r="C56" s="12"/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6" t="s">
        <v>22</v>
      </c>
      <c r="B57" s="6" t="s">
        <v>23</v>
      </c>
      <c r="C57" s="24" t="n">
        <f aca="false">IF(C9=0,0,C25/C9)</f>
        <v>2950.5</v>
      </c>
      <c r="D57" s="24" t="n">
        <f aca="false">IF(D9=0,0,D25/D9)</f>
        <v>4106</v>
      </c>
      <c r="E57" s="24" t="n">
        <f aca="false">IF(E9=0,0,E25/E9)</f>
        <v>5344</v>
      </c>
      <c r="F57" s="24" t="n">
        <f aca="false">IF(F9=0,0,F25/F9)</f>
        <v>6312.3</v>
      </c>
      <c r="G57" s="24" t="n">
        <f aca="false">IF(G9=0,0,G25/G9)</f>
        <v>7377.5</v>
      </c>
      <c r="H57" s="15"/>
    </row>
    <row r="58" customFormat="false" ht="15" hidden="false" customHeight="false" outlineLevel="0" collapsed="false">
      <c r="A58" s="6" t="s">
        <v>168</v>
      </c>
      <c r="B58" s="6" t="s">
        <v>23</v>
      </c>
      <c r="C58" s="24" t="n">
        <f aca="false">IF(C9=0,0,C32/C9)</f>
        <v>4950.85714285714</v>
      </c>
      <c r="D58" s="24" t="n">
        <f aca="false">IF(D9=0,0,D32/D9)</f>
        <v>4093.04347826087</v>
      </c>
      <c r="E58" s="24" t="n">
        <f aca="false">IF(E9=0,0,E32/E9)</f>
        <v>3938.22580645161</v>
      </c>
      <c r="F58" s="24" t="n">
        <f aca="false">IF(F9=0,0,F32/F9)</f>
        <v>3861.81290322581</v>
      </c>
      <c r="G58" s="24" t="n">
        <f aca="false">IF(G9=0,0,G32/G9)</f>
        <v>3785.14285714286</v>
      </c>
      <c r="H58" s="15"/>
    </row>
    <row r="59" customFormat="false" ht="15" hidden="false" customHeight="false" outlineLevel="0" collapsed="false">
      <c r="A59" s="6" t="s">
        <v>169</v>
      </c>
      <c r="B59" s="6" t="s">
        <v>23</v>
      </c>
      <c r="C59" s="24" t="n">
        <f aca="false">C57-C58</f>
        <v>-2000.35714285714</v>
      </c>
      <c r="D59" s="24" t="n">
        <f aca="false">D57-D58</f>
        <v>12.9565217391305</v>
      </c>
      <c r="E59" s="24" t="n">
        <f aca="false">E57-E58</f>
        <v>1405.77419354839</v>
      </c>
      <c r="F59" s="24" t="n">
        <f aca="false">F57-F58</f>
        <v>2450.48709677419</v>
      </c>
      <c r="G59" s="24" t="n">
        <f aca="false">G57-G58</f>
        <v>3592.35714285714</v>
      </c>
      <c r="H59" s="15"/>
    </row>
    <row r="60" customFormat="false" ht="15" hidden="false" customHeight="false" outlineLevel="0" collapsed="false">
      <c r="A60" s="6" t="s">
        <v>170</v>
      </c>
      <c r="B60" s="6" t="s">
        <v>23</v>
      </c>
      <c r="C60" s="24" t="n">
        <f aca="false">IF(Hypothèses!C8=0,0,Hypothèses!C37/Hypothèses!C8)</f>
        <v>4285.71428571429</v>
      </c>
      <c r="D60" s="24" t="n">
        <f aca="false">IF(Hypothèses!D8=0,0,Hypothèses!D37/Hypothèses!D8)</f>
        <v>3250</v>
      </c>
      <c r="E60" s="24" t="n">
        <f aca="false">IF(Hypothèses!E8=0,0,Hypothèses!E37/Hypothèses!E8)</f>
        <v>2666.66666666667</v>
      </c>
      <c r="F60" s="24" t="n">
        <f aca="false">IF(Hypothèses!F8=0,0,Hypothèses!F37/Hypothèses!F8)</f>
        <v>2291.66666666667</v>
      </c>
      <c r="G60" s="24" t="n">
        <f aca="false">IF(Hypothèses!G8=0,0,Hypothèses!G37/Hypothèses!G8)</f>
        <v>2000</v>
      </c>
      <c r="H60" s="15" t="s">
        <v>171</v>
      </c>
    </row>
    <row r="61" customFormat="false" ht="15" hidden="false" customHeight="false" outlineLevel="0" collapsed="false">
      <c r="A61" s="6" t="s">
        <v>172</v>
      </c>
      <c r="B61" s="6" t="s">
        <v>23</v>
      </c>
      <c r="C61" s="24" t="n">
        <f aca="false">C59*Hypothèses!$C$45</f>
        <v>-6001.07142857143</v>
      </c>
      <c r="D61" s="24" t="n">
        <f aca="false">D59*Hypothèses!$C$45</f>
        <v>38.8695652173915</v>
      </c>
      <c r="E61" s="24" t="n">
        <f aca="false">E59*Hypothèses!$C$45</f>
        <v>4217.32258064516</v>
      </c>
      <c r="F61" s="24" t="n">
        <f aca="false">F59*Hypothèses!$C$45</f>
        <v>7351.46129032258</v>
      </c>
      <c r="G61" s="24" t="n">
        <f aca="false">G59*Hypothèses!$C$45</f>
        <v>10777.0714285714</v>
      </c>
      <c r="H61" s="15" t="s">
        <v>173</v>
      </c>
    </row>
    <row r="62" customFormat="false" ht="15" hidden="false" customHeight="false" outlineLevel="0" collapsed="false">
      <c r="A62" s="6" t="s">
        <v>24</v>
      </c>
      <c r="B62" s="6" t="s">
        <v>25</v>
      </c>
      <c r="C62" s="28" t="n">
        <f aca="false">IF(C60=0,0,C61/C60)</f>
        <v>-1.40025</v>
      </c>
      <c r="D62" s="28" t="n">
        <f aca="false">IF(D60=0,0,D61/D60)</f>
        <v>0.0119598662207358</v>
      </c>
      <c r="E62" s="28" t="n">
        <f aca="false">IF(E60=0,0,E61/E60)</f>
        <v>1.58149596774194</v>
      </c>
      <c r="F62" s="28" t="n">
        <f aca="false">IF(F60=0,0,F61/F60)</f>
        <v>3.20791038123167</v>
      </c>
      <c r="G62" s="28" t="n">
        <f aca="false">IF(G60=0,0,G61/G60)</f>
        <v>5.38853571428571</v>
      </c>
      <c r="H62" s="1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175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176</v>
      </c>
    </row>
    <row r="4" customFormat="false" ht="30" hidden="false" customHeight="true" outlineLevel="0" collapsed="false">
      <c r="A4" s="13" t="s">
        <v>177</v>
      </c>
      <c r="B4" s="29" t="n">
        <v>0.01</v>
      </c>
      <c r="C4" s="29" t="n">
        <v>0.0125</v>
      </c>
      <c r="D4" s="29" t="n">
        <v>0.015</v>
      </c>
      <c r="E4" s="29" t="n">
        <v>0.0175</v>
      </c>
      <c r="F4" s="29" t="n">
        <v>0.02</v>
      </c>
    </row>
    <row r="5" customFormat="false" ht="15" hidden="false" customHeight="false" outlineLevel="0" collapsed="false">
      <c r="A5" s="29" t="n">
        <v>0.005</v>
      </c>
      <c r="B5" s="25" t="n">
        <f aca="false">Projections!$E$45+Projections!$E$14*(B$4-Hypothèses!$C$19)-Projections!$E$12*($A5-Hypothèses!$E$26)</f>
        <v>-348551375</v>
      </c>
      <c r="C5" s="25" t="n">
        <f aca="false">Projections!$E$45+Projections!$E$14*(C$4-Hypothèses!$C$19)-Projections!$E$12*($A5-Hypothèses!$E$26)</f>
        <v>-327364812.5</v>
      </c>
      <c r="D5" s="25" t="n">
        <f aca="false">Projections!$E$45+Projections!$E$14*(D$4-Hypothèses!$C$19)-Projections!$E$12*($A5-Hypothèses!$E$26)</f>
        <v>-306178250</v>
      </c>
      <c r="E5" s="25" t="n">
        <f aca="false">Projections!$E$45+Projections!$E$14*(E$4-Hypothèses!$C$19)-Projections!$E$12*($A5-Hypothèses!$E$26)</f>
        <v>-284991687.5</v>
      </c>
      <c r="F5" s="25" t="n">
        <f aca="false">Projections!$E$45+Projections!$E$14*(F$4-Hypothèses!$C$19)-Projections!$E$12*($A5-Hypothèses!$E$26)</f>
        <v>-263805125</v>
      </c>
    </row>
    <row r="6" customFormat="false" ht="15" hidden="false" customHeight="false" outlineLevel="0" collapsed="false">
      <c r="A6" s="29" t="n">
        <v>0.0065</v>
      </c>
      <c r="B6" s="25" t="n">
        <f aca="false">Projections!$E$45+Projections!$E$14*(B$4-Hypothèses!$C$19)-Projections!$E$12*($A6-Hypothèses!$E$26)</f>
        <v>-379938875</v>
      </c>
      <c r="C6" s="25" t="n">
        <f aca="false">Projections!$E$45+Projections!$E$14*(C$4-Hypothèses!$C$19)-Projections!$E$12*($A6-Hypothèses!$E$26)</f>
        <v>-358752312.5</v>
      </c>
      <c r="D6" s="25" t="n">
        <f aca="false">Projections!$E$45+Projections!$E$14*(D$4-Hypothèses!$C$19)-Projections!$E$12*($A6-Hypothèses!$E$26)</f>
        <v>-337565750</v>
      </c>
      <c r="E6" s="25" t="n">
        <f aca="false">Projections!$E$45+Projections!$E$14*(E$4-Hypothèses!$C$19)-Projections!$E$12*($A6-Hypothèses!$E$26)</f>
        <v>-316379187.5</v>
      </c>
      <c r="F6" s="25" t="n">
        <f aca="false">Projections!$E$45+Projections!$E$14*(F$4-Hypothèses!$C$19)-Projections!$E$12*($A6-Hypothèses!$E$26)</f>
        <v>-295192625</v>
      </c>
    </row>
    <row r="7" customFormat="false" ht="15" hidden="false" customHeight="false" outlineLevel="0" collapsed="false">
      <c r="A7" s="29" t="n">
        <v>0.008</v>
      </c>
      <c r="B7" s="25" t="n">
        <f aca="false">Projections!$E$45+Projections!$E$14*(B$4-Hypothèses!$C$19)-Projections!$E$12*($A7-Hypothèses!$E$26)</f>
        <v>-411326375</v>
      </c>
      <c r="C7" s="25" t="n">
        <f aca="false">Projections!$E$45+Projections!$E$14*(C$4-Hypothèses!$C$19)-Projections!$E$12*($A7-Hypothèses!$E$26)</f>
        <v>-390139812.5</v>
      </c>
      <c r="D7" s="30" t="n">
        <f aca="false">Projections!$E$45+Projections!$E$14*(D$4-Hypothèses!$C$19)-Projections!$E$12*($A7-Hypothèses!$E$26)</f>
        <v>-368953250</v>
      </c>
      <c r="E7" s="25" t="n">
        <f aca="false">Projections!$E$45+Projections!$E$14*(E$4-Hypothèses!$C$19)-Projections!$E$12*($A7-Hypothèses!$E$26)</f>
        <v>-347766687.5</v>
      </c>
      <c r="F7" s="25" t="n">
        <f aca="false">Projections!$E$45+Projections!$E$14*(F$4-Hypothèses!$C$19)-Projections!$E$12*($A7-Hypothèses!$E$26)</f>
        <v>-326580125</v>
      </c>
    </row>
    <row r="8" customFormat="false" ht="15" hidden="false" customHeight="false" outlineLevel="0" collapsed="false">
      <c r="A8" s="29" t="n">
        <v>0.01</v>
      </c>
      <c r="B8" s="25" t="n">
        <f aca="false">Projections!$E$45+Projections!$E$14*(B$4-Hypothèses!$C$19)-Projections!$E$12*($A8-Hypothèses!$E$26)</f>
        <v>-453176375</v>
      </c>
      <c r="C8" s="25" t="n">
        <f aca="false">Projections!$E$45+Projections!$E$14*(C$4-Hypothèses!$C$19)-Projections!$E$12*($A8-Hypothèses!$E$26)</f>
        <v>-431989812.5</v>
      </c>
      <c r="D8" s="25" t="n">
        <f aca="false">Projections!$E$45+Projections!$E$14*(D$4-Hypothèses!$C$19)-Projections!$E$12*($A8-Hypothèses!$E$26)</f>
        <v>-410803250</v>
      </c>
      <c r="E8" s="25" t="n">
        <f aca="false">Projections!$E$45+Projections!$E$14*(E$4-Hypothèses!$C$19)-Projections!$E$12*($A8-Hypothèses!$E$26)</f>
        <v>-389616687.5</v>
      </c>
      <c r="F8" s="25" t="n">
        <f aca="false">Projections!$E$45+Projections!$E$14*(F$4-Hypothèses!$C$19)-Projections!$E$12*($A8-Hypothèses!$E$26)</f>
        <v>-368430125</v>
      </c>
    </row>
    <row r="9" customFormat="false" ht="15" hidden="false" customHeight="false" outlineLevel="0" collapsed="false">
      <c r="A9" s="29" t="n">
        <v>0.015</v>
      </c>
      <c r="B9" s="25" t="n">
        <f aca="false">Projections!$E$45+Projections!$E$14*(B$4-Hypothèses!$C$19)-Projections!$E$12*($A9-Hypothèses!$E$26)</f>
        <v>-557801375</v>
      </c>
      <c r="C9" s="25" t="n">
        <f aca="false">Projections!$E$45+Projections!$E$14*(C$4-Hypothèses!$C$19)-Projections!$E$12*($A9-Hypothèses!$E$26)</f>
        <v>-536614812.5</v>
      </c>
      <c r="D9" s="25" t="n">
        <f aca="false">Projections!$E$45+Projections!$E$14*(D$4-Hypothèses!$C$19)-Projections!$E$12*($A9-Hypothèses!$E$26)</f>
        <v>-515428250</v>
      </c>
      <c r="E9" s="25" t="n">
        <f aca="false">Projections!$E$45+Projections!$E$14*(E$4-Hypothèses!$C$19)-Projections!$E$12*($A9-Hypothèses!$E$26)</f>
        <v>-494241687.5</v>
      </c>
      <c r="F9" s="25" t="n">
        <f aca="false">Projections!$E$45+Projections!$E$14*(F$4-Hypothèses!$C$19)-Projections!$E$12*($A9-Hypothèses!$E$26)</f>
        <v>-473055125</v>
      </c>
    </row>
    <row r="11" customFormat="false" ht="15" hidden="false" customHeight="false" outlineLevel="0" collapsed="false">
      <c r="A11" s="31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2026-09-27T01:22:23Z</dcterms:created>
  <dc:creator>openpyxl</dc:creator>
  <dc:description/>
  <dc:language>en-US</dc:language>
  <cp:lastModifiedBy/>
  <dcterms:modified xsi:type="dcterms:W3CDTF">2026-09-27T01:22:23Z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