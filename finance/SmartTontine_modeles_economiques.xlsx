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f" sheetId="1" state="visible" r:id="rId3"/>
    <sheet name="Hypothèses" sheetId="2" state="visible" r:id="rId4"/>
    <sheet name="Déploiement" sheetId="3" state="visible" r:id="rId5"/>
    <sheet name="Modèles" sheetId="4" state="visible" r:id="rId6"/>
    <sheet name="Sensibilité 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7" authorId="0">
      <text>
        <r>
          <rPr>
            <sz val="10"/>
            <rFont val="Arial"/>
            <family val="2"/>
          </rPr>
          <t xml:space="preserve">Levier clé : l'argent qui reste dans l'app n'engendre pas de frais opérateurs.</t>
        </r>
      </text>
    </comment>
  </commentList>
</comments>
</file>

<file path=xl/sharedStrings.xml><?xml version="1.0" encoding="utf-8"?>
<sst xmlns="http://schemas.openxmlformats.org/spreadsheetml/2006/main" count="814" uniqueCount="227">
  <si>
    <t xml:space="preserve">Smart Tontine — Quel modèle économique est rentable ?</t>
  </si>
  <si>
    <t xml:space="preserve">Validation sur 5 ans (2027-2031), Burkina Faso puis sous-région · M FCFA sauf mention contraire</t>
  </si>
  <si>
    <t xml:space="preserve">Critère</t>
  </si>
  <si>
    <t xml:space="preserve">Seuil de validation</t>
  </si>
  <si>
    <t xml:space="preserve">A — Commission seule</t>
  </si>
  <si>
    <t xml:space="preserve">B — Transactionnel</t>
  </si>
  <si>
    <t xml:space="preserve">C — Freemium abonnements</t>
  </si>
  <si>
    <t xml:space="preserve">D — Tontine + microfinance</t>
  </si>
  <si>
    <t xml:space="preserve">E — B2B pour les SFD</t>
  </si>
  <si>
    <t xml:space="preserve">F — Hybride Smart Tontine</t>
  </si>
  <si>
    <t xml:space="preserve">G — Hybride optimisé (recommandé)</t>
  </si>
  <si>
    <t xml:space="preserve">Chiffre d'affaires 2031</t>
  </si>
  <si>
    <t xml:space="preserve">—</t>
  </si>
  <si>
    <t xml:space="preserve">EBITDA 2031</t>
  </si>
  <si>
    <t xml:space="preserve">&gt; 0</t>
  </si>
  <si>
    <t xml:space="preserve">Marge d'EBITDA 2031</t>
  </si>
  <si>
    <t xml:space="preserve">≥ 15 %</t>
  </si>
  <si>
    <t xml:space="preserve">EBITDA cumulé 2027-2031</t>
  </si>
  <si>
    <t xml:space="preserve">Première année d'EBITDA positif</t>
  </si>
  <si>
    <t xml:space="preserve">≤ 2029</t>
  </si>
  <si>
    <t xml:space="preserve">Besoin de financement (creux de trésorerie)</t>
  </si>
  <si>
    <t xml:space="preserve">≤ 600 M F</t>
  </si>
  <si>
    <t xml:space="preserve">Marge par membre et par an (2031, hors acquisition)</t>
  </si>
  <si>
    <t xml:space="preserve">&gt; 0 F</t>
  </si>
  <si>
    <t xml:space="preserve">VAN des flux 2027-2031 (20 %, sans valeur terminale)</t>
  </si>
  <si>
    <t xml:space="preserve">VERDICT STRICT (EBITDA positif ≤ 2029 + tous les seuils)</t>
  </si>
  <si>
    <t xml:space="preserve">VERDICT INVESTISSEUR (EBITDA positif ≤ 2030, autres seuils identiques)</t>
  </si>
  <si>
    <t xml:space="preserve">Lecture</t>
  </si>
  <si>
    <t xml:space="preserve">Les six modèles partagent le même déploiement (Burkina 2027 → Côte d'Ivoire → Mali → Niger/Sénégal → Bénin/Togo) et les mêmes coûts ; seuls les leviers de revenus diffèrent.</t>
  </si>
  <si>
    <t xml:space="preserve">Seuils fixés avant le calcul : EBITDA 2031 &gt; 0 et marge ≥ 15 %, besoin de financement ≤ 600 M F (atteignable en pré-amorçage + amorçage), marge par membre positive, EBITDA positif en année 3 (strict) ou 4 (investisseur).</t>
  </si>
  <si>
    <t xml:space="preserve">Les hypothèses jaunes de l'onglet Hypothèses (coût Mobile Money, recirculation, adoption, pertes de crédit, prix des licences SFD) sont à valider par un pilote avant la levée.</t>
  </si>
  <si>
    <t xml:space="preserve">Smart Tontine — Hypothèses</t>
  </si>
  <si>
    <t xml:space="preserve">Cellules bleues = saisies · fond jaune = hypothèses clés à valider sur le terrain · montants en FCFA</t>
  </si>
  <si>
    <t xml:space="preserve">Toutes les valeurs sont des hypothèses de travail (ordres de grandeur) à confirmer : sources et statut dans la colonne commentaire.</t>
  </si>
  <si>
    <t xml:space="preserve">1. Pays et calendrier de déploiement</t>
  </si>
  <si>
    <t xml:space="preserve">Pays</t>
  </si>
  <si>
    <t xml:space="preserve">Année de lancement</t>
  </si>
  <si>
    <t xml:space="preserve">Adultes 15+ (millions)</t>
  </si>
  <si>
    <t xml:space="preserve">Coefficient de marché</t>
  </si>
  <si>
    <t xml:space="preserve">Cotisation mensuelle moyenne (F)</t>
  </si>
  <si>
    <t xml:space="preserve">Commentaire</t>
  </si>
  <si>
    <t xml:space="preserve">Burkina Faso</t>
  </si>
  <si>
    <t xml:space="preserve">Pays de lancement. ≈ 23-24 M d'habitants (projections INSD, à confirmer) ; Orange Money, Moov Money, Wave, Sank Money.</t>
  </si>
  <si>
    <t xml:space="preserve">Côte d'Ivoire</t>
  </si>
  <si>
    <t xml:space="preserve">Forte communauté burkinabè (tontines et transferts transfrontaliers) ; concurrence plus forte.</t>
  </si>
  <si>
    <t xml:space="preserve">Mali</t>
  </si>
  <si>
    <t xml:space="preserve">Proche du Burkina (AES, UEMOA) ; risque sécuritaire.</t>
  </si>
  <si>
    <t xml:space="preserve">Niger</t>
  </si>
  <si>
    <t xml:space="preserve">Idem ; marché Mobile Money moins mûr.</t>
  </si>
  <si>
    <t xml:space="preserve">Sénégal</t>
  </si>
  <si>
    <t xml:space="preserve">Concurrents installés (Maman Tontine, MaTontine) : coefficient réduit.</t>
  </si>
  <si>
    <t xml:space="preserve">Bénin / Togo</t>
  </si>
  <si>
    <t xml:space="preserve">Deux marchés regroupés.</t>
  </si>
  <si>
    <t xml:space="preserve">2. Hypothèses par année (colonnes = années ; pour la courbe d'adoption, colonnes = années depuis le lancement)</t>
  </si>
  <si>
    <t xml:space="preserve">Hypothèse</t>
  </si>
  <si>
    <t xml:space="preserve">Unité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</si>
  <si>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</si>
  <si>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</si>
  <si>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</si>
  <si>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</si>
  <si>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</si>
  <si>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Membres actifs / adultes, par année depuis le lancement (1 à 5)</t>
  </si>
  <si>
    <t xml:space="preserve">%</t>
  </si>
  <si>
    <t xml:space="preserve">Burkina A5 ≈ 168 000 membres actifs (1,3 % des adultes). Référence : Maman Tontine revendique 30 000+ utilisateurs au Sénégal.</t>
  </si>
  <si>
    <t xml:space="preserve">Part des cotisations payées depuis le solde Smart Tontine</t>
  </si>
  <si>
    <t xml:space="preserve">Argent qui ne ressort pas : pot gardé pour le tour suivant, avance, épargne. Évite les frais opérateurs d'entrée et de sortie.</t>
  </si>
  <si>
    <t xml:space="preserve">Membres empruntant dans l'année (avance ou microcrédit)</t>
  </si>
  <si>
    <t xml:space="preserve">Membres de SFD partenaires gérés sur la plateforme (canal B2B)</t>
  </si>
  <si>
    <t xml:space="preserve">membres</t>
  </si>
  <si>
    <t xml:space="preserve">Tontines et groupes d'épargne des SFD partenaires numérisés en marque blanche (≈ 1,47 M de comptes SFD au Burkina en 2024).</t>
  </si>
  <si>
    <t xml:space="preserve">Effectif siège (ETP)</t>
  </si>
  <si>
    <t xml:space="preserve">ETP</t>
  </si>
  <si>
    <t xml:space="preserve">Hors équipes pays (comptées dans le coût fixe par pays).</t>
  </si>
  <si>
    <t xml:space="preserve">Montée en charge de l'équipe crédit</t>
  </si>
  <si>
    <t xml:space="preserve">Le crédit démarre en 2028 (pilote) : pas d'équipe crédit complète avant.</t>
  </si>
  <si>
    <t xml:space="preserve">3. Hypothèses constantes</t>
  </si>
  <si>
    <t xml:space="preserve">Coût d'encaissement Mobile Money (payé par la plateforme)</t>
  </si>
  <si>
    <t xml:space="preserve">À négocier avec Orange Money, Moov, Wave ; agrégateurs locaux (ex. Senfenico) 1-2 %. HYPOTHÈSE CRITIQUE.</t>
  </si>
  <si>
    <t xml:space="preserve">Coût de décaissement vers Mobile Money</t>
  </si>
  <si>
    <t xml:space="preserve">SMS et notifications par membre et par an</t>
  </si>
  <si>
    <t xml:space="preserve">F</t>
  </si>
  <si>
    <t xml:space="preserve">Push et WhatsApp en priorité ; SMS seulement pour l'OTP et les membres sans smartphone.</t>
  </si>
  <si>
    <t xml:space="preserve">Hébergement et services par membre et par an</t>
  </si>
  <si>
    <t xml:space="preserve">Coût KYC par nouveau membre vérifié</t>
  </si>
  <si>
    <t xml:space="preserve">50 % des nouveaux membres vérifiés.</t>
  </si>
  <si>
    <t xml:space="preserve">Part des nouveaux membres vérifiés</t>
  </si>
  <si>
    <t xml:space="preserve">Taille moyenne d'une tontine / d'un groupe</t>
  </si>
  <si>
    <t xml:space="preserve">Abonnement « Organisateur Pro » (par mois)</t>
  </si>
  <si>
    <t xml:space="preserve">Pour trésoriers de tontines, associations, GIE : tableau de bord, relances, exports, plusieurs groupes.</t>
  </si>
  <si>
    <t xml:space="preserve">Abonnement membre « Smart Tontine+ » (par mois)</t>
  </si>
  <si>
    <t xml:space="preserve">Retrait du pot offert, avance à taux réduit, support prioritaire.</t>
  </si>
  <si>
    <t xml:space="preserve">Solde moyen conservé par membre actif</t>
  </si>
  <si>
    <t xml:space="preserve">Base du float.</t>
  </si>
  <si>
    <t xml:space="preserve">Rendement du float (compte de cantonnement / dépôt à terme)</t>
  </si>
  <si>
    <t xml:space="preserve">À négocier avec la banque ou le SFD partenaire.</t>
  </si>
  <si>
    <t xml:space="preserve">Crédit moyen (avance ou microcrédit)</t>
  </si>
  <si>
    <t xml:space="preserve">Intérêts perçus sur la durée du crédit (% du montant)</t>
  </si>
  <si>
    <t xml:space="preserve">1,5 % par mois × 3 mois en moyenne, sous le taux d'usure.</t>
  </si>
  <si>
    <t xml:space="preserve">Part des intérêts revenant à Smart Tontine</t>
  </si>
  <si>
    <t xml:space="preserve">Le SFD partenaire finance et porte le crédit.</t>
  </si>
  <si>
    <t xml:space="preserve">Pertes sur crédits (% des montants versés)</t>
  </si>
  <si>
    <t xml:space="preserve">Prudence : le secteur SFD burkinabè a vu son résultat baisser de 34,8 % en 2024 (BCEAO) ; avances adossées au pot moins risquées.</t>
  </si>
  <si>
    <t xml:space="preserve">Part des pertes garantie par Smart Tontine</t>
  </si>
  <si>
    <t xml:space="preserve">Frais d'apport sur crédit accordé via le canal SFD (payés par le SFD)</t>
  </si>
  <si>
    <t xml:space="preserve">Membres souscrivant une micro-assurance</t>
  </si>
  <si>
    <t xml:space="preserve">Assurance décès / santé des membres de tontine (partenaire assureur).</t>
  </si>
  <si>
    <t xml:space="preserve">Prime annuelle moyenne</t>
  </si>
  <si>
    <t xml:space="preserve">Commission de distribution d'assurance</t>
  </si>
  <si>
    <t xml:space="preserve">Licence SFD : prix par membre géré et par mois</t>
  </si>
  <si>
    <t xml:space="preserve">Payé par le SFD. Plafonné par sa rentabilité : ≈ 3 Mds F de résultat pour 1,47 M de comptes en 2024 (BCEAO), soit ≈ 2 000 F/compte/an.</t>
  </si>
  <si>
    <t xml:space="preserve">Cotisation mensuelle moyenne d'un membre SFD</t>
  </si>
  <si>
    <t xml:space="preserve">Coût annuel chargé moyen d'un ETP siège</t>
  </si>
  <si>
    <t xml:space="preserve">≈ 500 000 F/mois chargés (Ouagadougou).</t>
  </si>
  <si>
    <t xml:space="preserve">Coût fixe annuel par pays ouvert</t>
  </si>
  <si>
    <t xml:space="preserve">Responsable pays, 2-3 animateurs, bureau, juridique, frais partenaires.</t>
  </si>
  <si>
    <t xml:space="preserve">Marketing de marque par pays ouvert et par an</t>
  </si>
  <si>
    <t xml:space="preserve">Charges fixes siège (tech, audit, sécurité, loyer)</t>
  </si>
  <si>
    <t xml:space="preserve">Équipe crédit et risques (si crédit)</t>
  </si>
  <si>
    <t xml:space="preserve">Équipe ventes et intégration SFD (si B2B)</t>
  </si>
  <si>
    <t xml:space="preserve">Investissement de lancement</t>
  </si>
  <si>
    <t xml:space="preserve">Plateforme déjà développée (ce dépôt) : durcissement, audit de sécurité, intégrations opérateurs.</t>
  </si>
  <si>
    <t xml:space="preserve">Impôt sur les sociétés</t>
  </si>
  <si>
    <t xml:space="preserve">Taux IS Burkina Faso 27,5 % (à confirmer).</t>
  </si>
  <si>
    <t xml:space="preserve">Taux d'actualisation (VAN)</t>
  </si>
  <si>
    <t xml:space="preserve">Exigence d'un investisseur early-stage en Afrique de l'Ouest.</t>
  </si>
  <si>
    <t xml:space="preserve">4. Les 6 modèles économiques testés (une colonne par modèle)</t>
  </si>
  <si>
    <t xml:space="preserve">Paramètre</t>
  </si>
  <si>
    <t xml:space="preserve">Canal B2C (application grand public) actif</t>
  </si>
  <si>
    <t xml:space="preserve">Commission sur chaque pot versé</t>
  </si>
  <si>
    <t xml:space="preserve">Frais sur les retraits vers Mobile Money</t>
  </si>
  <si>
    <t xml:space="preserve">Frais opérateurs refacturés au membre (1 = oui)</t>
  </si>
  <si>
    <t xml:space="preserve">C et E : le membre (ou le SFD) paie les frais Mobile Money au coût réel.</t>
  </si>
  <si>
    <t xml:space="preserve">Groupes abonnés Organisateur Pro</t>
  </si>
  <si>
    <t xml:space="preserve">Membres abonnés Smart Tontine+</t>
  </si>
  <si>
    <t xml:space="preserve">Revenus du float (1 = oui)</t>
  </si>
  <si>
    <t xml:space="preserve">Crédit via SFD partenaire (1 = oui)</t>
  </si>
  <si>
    <t xml:space="preserve">Micro-assurance (1 = oui)</t>
  </si>
  <si>
    <t xml:space="preserve">Part du potentiel B2B SFD captée</t>
  </si>
  <si>
    <t xml:space="preserve">Coût d'acquisition par nouveau membre B2C (F)</t>
  </si>
  <si>
    <t xml:space="preserve">F : moins cher grâce aux organisateurs Pro qui recrutent leur groupe (commission parrainage incluse).</t>
  </si>
  <si>
    <t xml:space="preserve">Coût d'acquisition par membre B2B (formation, lancement chez le SFD)</t>
  </si>
  <si>
    <t xml:space="preserve">Levier : réduction des frais Mobile Money</t>
  </si>
  <si>
    <t xml:space="preserve">G : cotisations prélevées sur le compte d'épargne SFD (pas de frais opérateur) + tarifs négociés (objectif ≤ 0,7 % / 0,3 %).</t>
  </si>
  <si>
    <t xml:space="preserve">Levier : points de recirculation en plus</t>
  </si>
  <si>
    <t xml:space="preserve">Testé : neutre sur la rentabilité (les frais de retrait compensent les frais opérateurs évités) ; utile pour la fidélisation, pas pour la marge.</t>
  </si>
  <si>
    <t xml:space="preserve">Levier : réduction des coûts siège</t>
  </si>
  <si>
    <t xml:space="preserve">G : équipe siège resserrée (Ouagadougou), tech mutualisée, fonctions support partagées avec le SFD.</t>
  </si>
  <si>
    <t xml:space="preserve">Clone de Maman Tontine : 1 % sur chaque pot, retrait gratuit, frais opérateurs à la charge de la plateforme.</t>
  </si>
  <si>
    <t xml:space="preserve">1 % sur les pots + 1 % sur les retraits vers Mobile Money + float.</t>
  </si>
  <si>
    <t xml:space="preserve">Gratuit pour les membres (frais opérateurs refacturés au coût), revenus = abonnements Organisateur Pro et Smart Tontine+.</t>
  </si>
  <si>
    <t xml:space="preserve">B + part des intérêts de crédit (SFD partenaire) + micro-assurance.</t>
  </si>
  <si>
    <t xml:space="preserve">Plateforme en marque blanche vendue aux SFD : licence par membre + frais d'apport de crédit. Pas de B2C.</t>
  </si>
  <si>
    <t xml:space="preserve">D + abonnements Organisateur Pro / Smart Tontine+ + canal B2B SFD (à moitié de E).</t>
  </si>
  <si>
    <t xml:space="preserve">F + trois leviers structurels : cotisations prélevées sur le compte SFD et tarifs opérateurs négociés (−40 % de frais Mobile Money), siège resserré à Ouagadougou (−20 % de coûts siège), canal SFD exploité à 100 %.</t>
  </si>
  <si>
    <t xml:space="preserve">Smart Tontine — Déploiement pays par pays (canal B2C)</t>
  </si>
  <si>
    <t xml:space="preserve">Membres actifs = adultes × courbe d'adoption (selon l'ancienneté du pays) × coefficient de marché</t>
  </si>
  <si>
    <t xml:space="preserve">Pays / indicateur</t>
  </si>
  <si>
    <t xml:space="preserve">Ancienneté (années)</t>
  </si>
  <si>
    <t xml:space="preserve">Membres actifs</t>
  </si>
  <si>
    <t xml:space="preserve">Cotisations annuelles (= pots versés)</t>
  </si>
  <si>
    <t xml:space="preserve">M F</t>
  </si>
  <si>
    <t xml:space="preserve">Pays ouvert (1/0)</t>
  </si>
  <si>
    <t xml:space="preserve">Total</t>
  </si>
  <si>
    <t xml:space="preserve">Membres actifs B2C</t>
  </si>
  <si>
    <t xml:space="preserve">Nouveaux membres B2C</t>
  </si>
  <si>
    <t xml:space="preserve">Cotisations B2C (= pots versés)</t>
  </si>
  <si>
    <t xml:space="preserve">Pays ouverts</t>
  </si>
  <si>
    <t xml:space="preserve">pays</t>
  </si>
  <si>
    <t xml:space="preserve">Membres SFD (potentiel B2B)</t>
  </si>
  <si>
    <t xml:space="preserve">Nouveaux membres SFD</t>
  </si>
  <si>
    <t xml:space="preserve">Smart Tontine — Compte de résultat de chaque modèle</t>
  </si>
  <si>
    <t xml:space="preserve">Montants en millions de FCFA · mêmes marchés, mêmes coûts : seuls les paramètres de la matrice (Hypothèses §4) changent</t>
  </si>
  <si>
    <t xml:space="preserve">Indicateur</t>
  </si>
  <si>
    <t xml:space="preserve">Méthode</t>
  </si>
  <si>
    <t xml:space="preserve">Modèle A — Commission seule</t>
  </si>
  <si>
    <t xml:space="preserve">Membres SFD gérés (B2B)</t>
  </si>
  <si>
    <t xml:space="preserve">Pots retirés vers Mobile Money</t>
  </si>
  <si>
    <t xml:space="preserve">cotisations × (1 − recirculation) : ce qui entre par Mobile Money finit par ressortir</t>
  </si>
  <si>
    <t xml:space="preserve">Crédits versés (via SFD)</t>
  </si>
  <si>
    <t xml:space="preserve">Revenus</t>
  </si>
  <si>
    <t xml:space="preserve">Commission sur les pots</t>
  </si>
  <si>
    <t xml:space="preserve">Frais de retrait</t>
  </si>
  <si>
    <t xml:space="preserve">Abonnements Organisateur Pro</t>
  </si>
  <si>
    <t xml:space="preserve">groupes × conversion × prix × 12</t>
  </si>
  <si>
    <t xml:space="preserve">Abonnements Smart Tontine+</t>
  </si>
  <si>
    <t xml:space="preserve">Revenus du float</t>
  </si>
  <si>
    <t xml:space="preserve">Part des intérêts de crédit</t>
  </si>
  <si>
    <t xml:space="preserve">Commissions d'assurance</t>
  </si>
  <si>
    <t xml:space="preserve">Licences SFD</t>
  </si>
  <si>
    <t xml:space="preserve">Frais d'apport de crédit (SFD)</t>
  </si>
  <si>
    <t xml:space="preserve">Chiffre d'affaires</t>
  </si>
  <si>
    <t xml:space="preserve">Coûts variables</t>
  </si>
  <si>
    <t xml:space="preserve">Frais Mobile Money (entrée + sortie)</t>
  </si>
  <si>
    <t xml:space="preserve">seul l'argent qui entre et ressort par Mobile Money coûte des frais</t>
  </si>
  <si>
    <t xml:space="preserve">SMS, hébergement</t>
  </si>
  <si>
    <t xml:space="preserve">membres SFD comptés à 50 %</t>
  </si>
  <si>
    <t xml:space="preserve">KYC</t>
  </si>
  <si>
    <t xml:space="preserve">Garantie de première perte (crédit)</t>
  </si>
  <si>
    <t xml:space="preserve">Acquisition</t>
  </si>
  <si>
    <t xml:space="preserve">nouveaux membres × CAC</t>
  </si>
  <si>
    <t xml:space="preserve">Total coûts variables</t>
  </si>
  <si>
    <t xml:space="preserve">Marge sur coûts variables</t>
  </si>
  <si>
    <t xml:space="preserve">Coûts fixes</t>
  </si>
  <si>
    <t xml:space="preserve">Siège (équipe + charges fixes)</t>
  </si>
  <si>
    <t xml:space="preserve">Pays ouverts (équipes + marque)</t>
  </si>
  <si>
    <t xml:space="preserve">B2C : coût pays complet ; modèle E (sans B2C) : demi-coût, pas de marque</t>
  </si>
  <si>
    <t xml:space="preserve">Équipes crédit / B2B</t>
  </si>
  <si>
    <t xml:space="preserve">Total coûts fixes</t>
  </si>
  <si>
    <t xml:space="preserve">Résultat et trésorerie</t>
  </si>
  <si>
    <t xml:space="preserve">EBITDA</t>
  </si>
  <si>
    <t xml:space="preserve">Impôt (sur EBITDA − amortissement si positif)</t>
  </si>
  <si>
    <t xml:space="preserve">Flux de trésorerie</t>
  </si>
  <si>
    <t xml:space="preserve">Trésorerie cumulée</t>
  </si>
  <si>
    <t xml:space="preserve">EBITDA positif (1 = oui)</t>
  </si>
  <si>
    <t xml:space="preserve">indicateur</t>
  </si>
  <si>
    <t xml:space="preserve">Marge sur coûts variables par membre (hors acquisition)</t>
  </si>
  <si>
    <t xml:space="preserve">par membre (B2C + B2B) et par an</t>
  </si>
  <si>
    <t xml:space="preserve">Modèle B — Transactionnel</t>
  </si>
  <si>
    <t xml:space="preserve">Modèle C — Freemium abonnements</t>
  </si>
  <si>
    <t xml:space="preserve">Modèle D — Tontine + microfinance</t>
  </si>
  <si>
    <t xml:space="preserve">Modèle E — B2B pour les SFD</t>
  </si>
  <si>
    <t xml:space="preserve">Modèle F — Hybride Smart Tontine</t>
  </si>
  <si>
    <t xml:space="preserve">Modèle G — Hybride optimisé (recommandé)</t>
  </si>
  <si>
    <t xml:space="preserve">Modèle G — Sensibilité de l'EBITDA 2031 (M FCFA)</t>
  </si>
  <si>
    <t xml:space="preserve">Adoption (lignes, en % de l'hypothèse) × coût Mobile Money entrée + sortie (colonnes) · approximation linéaire autour du scénario central</t>
  </si>
  <si>
    <t xml:space="preserve">Adoption ↓ / coût Mobile Money →</t>
  </si>
  <si>
    <t xml:space="preserve">Le scénario central de G correspond à la ligne 100 % et à la colonne 0,9 % (1,5 % − 40 %). L'effet des membres B2B est lui aussi mis à l'échelle (approximation prudente).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</si>
</sst>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,,&quot; M&quot;;\(#,##0.0,,&quot; M)&quot;;\-"/>
    <numFmt numFmtId="166" formatCode="0.0%;\(0.0%\);\-"/>
    <numFmt numFmtId="167" formatCode="@"/>
    <numFmt numFmtId="168" formatCode="#,##0;\(#,##0\);\-"/>
    <numFmt numFmtId="169" formatCode="0"/>
    <numFmt numFmtId="170" formatCode="0.0"/>
    <numFmt numFmtId="171" formatCode="0.00"/>
    <numFmt numFmtId="172" formatCode="0.00%;\(0.00%\);\-"/>
    <numFmt numFmtId="173" formatCode="General"/>
    <numFmt numFmtId="174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9"/>
      <color rgb="FF555555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i val="true"/>
      <sz val="11"/>
      <color rgb="FF555555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43"/>
        <bgColor rgb="FF008080"/>
      </patternFill>
    </fill>
    <fill>
      <patternFill patternType="solid">
        <fgColor rgb="FFE8F3E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E8F3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8" min="3" style="0" width="15"/>
    <col collapsed="false" customWidth="true" hidden="false" outlineLevel="0" max="9" min="9" style="0" width="17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</v>
      </c>
    </row>
    <row r="4" customFormat="false" ht="42" hidden="false" customHeight="true" outlineLevel="0" collapsed="false">
      <c r="A4" s="4" t="s">
        <v>2</v>
      </c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customFormat="false" ht="15" hidden="false" customHeight="false" outlineLevel="0" collapsed="false">
      <c r="A5" s="6" t="s">
        <v>11</v>
      </c>
      <c r="B5" s="7" t="s">
        <v>12</v>
      </c>
      <c r="C5" s="8" t="n">
        <f aca="false">Modèles!G21</f>
        <v>523162800</v>
      </c>
      <c r="D5" s="8" t="n">
        <f aca="false">Modèles!G59</f>
        <v>799048800</v>
      </c>
      <c r="E5" s="8" t="n">
        <f aca="false">Modèles!G97</f>
        <v>274528800</v>
      </c>
      <c r="F5" s="8" t="n">
        <f aca="false">Modèles!G135</f>
        <v>848147220</v>
      </c>
      <c r="G5" s="8" t="n">
        <f aca="false">Modèles!G173</f>
        <v>242500000</v>
      </c>
      <c r="H5" s="8" t="n">
        <f aca="false">Modèles!G211</f>
        <v>1096102820</v>
      </c>
      <c r="I5" s="8" t="n">
        <f aca="false">Modèles!G249</f>
        <v>1217352820</v>
      </c>
    </row>
    <row r="6" customFormat="false" ht="15" hidden="false" customHeight="false" outlineLevel="0" collapsed="false">
      <c r="A6" s="6" t="s">
        <v>13</v>
      </c>
      <c r="B6" s="7" t="s">
        <v>14</v>
      </c>
      <c r="C6" s="8" t="n">
        <f aca="false">Modèles!G36</f>
        <v>-581789350</v>
      </c>
      <c r="D6" s="8" t="n">
        <f aca="false">Modèles!G74</f>
        <v>-305903350</v>
      </c>
      <c r="E6" s="8" t="n">
        <f aca="false">Modèles!G112</f>
        <v>-439364350</v>
      </c>
      <c r="F6" s="8" t="n">
        <f aca="false">Modèles!G150</f>
        <v>-314521780</v>
      </c>
      <c r="G6" s="8" t="n">
        <f aca="false">Modèles!G188</f>
        <v>-142750000</v>
      </c>
      <c r="H6" s="8" t="n">
        <f aca="false">Modèles!G226</f>
        <v>-100671180</v>
      </c>
      <c r="I6" s="8" t="n">
        <f aca="false">Modèles!G264</f>
        <v>191035420</v>
      </c>
    </row>
    <row r="7" customFormat="false" ht="15" hidden="false" customHeight="false" outlineLevel="0" collapsed="false">
      <c r="A7" s="6" t="s">
        <v>15</v>
      </c>
      <c r="B7" s="7" t="s">
        <v>16</v>
      </c>
      <c r="C7" s="9" t="n">
        <f aca="false">IF(Modèles!G21=0,0,Modèles!G36/Modèles!G21)</f>
        <v>-1.11206177121156</v>
      </c>
      <c r="D7" s="9" t="n">
        <f aca="false">IF(Modèles!G59=0,0,Modèles!G74/Modèles!G59)</f>
        <v>-0.382834377574937</v>
      </c>
      <c r="E7" s="9" t="n">
        <f aca="false">IF(Modèles!G97=0,0,Modèles!G112/Modèles!G97)</f>
        <v>-1.60043081090217</v>
      </c>
      <c r="F7" s="9" t="n">
        <f aca="false">IF(Modèles!G135=0,0,Modèles!G150/Modèles!G135)</f>
        <v>-0.370833945550161</v>
      </c>
      <c r="G7" s="9" t="n">
        <f aca="false">IF(Modèles!G173=0,0,Modèles!G188/Modèles!G173)</f>
        <v>-0.588659793814433</v>
      </c>
      <c r="H7" s="9" t="n">
        <f aca="false">IF(Modèles!G211=0,0,Modèles!G226/Modèles!G211)</f>
        <v>-0.0918446501214184</v>
      </c>
      <c r="I7" s="9" t="n">
        <f aca="false">IF(Modèles!G249=0,0,Modèles!G264/Modèles!G249)</f>
        <v>0.156926912938847</v>
      </c>
    </row>
    <row r="8" customFormat="false" ht="15" hidden="false" customHeight="false" outlineLevel="0" collapsed="false">
      <c r="A8" s="6" t="s">
        <v>17</v>
      </c>
      <c r="B8" s="7" t="s">
        <v>12</v>
      </c>
      <c r="C8" s="8" t="n">
        <f aca="false">SUM(Modèles!C36:G36)</f>
        <v>-1692382325</v>
      </c>
      <c r="D8" s="8" t="n">
        <f aca="false">SUM(Modèles!C74:G74)</f>
        <v>-1122730475</v>
      </c>
      <c r="E8" s="8" t="n">
        <f aca="false">SUM(Modèles!C112:G112)</f>
        <v>-1358446550</v>
      </c>
      <c r="F8" s="8" t="n">
        <f aca="false">SUM(Modèles!C150:G150)</f>
        <v>-1186204835</v>
      </c>
      <c r="G8" s="8" t="n">
        <f aca="false">SUM(Modèles!C188:G188)</f>
        <v>-724550000</v>
      </c>
      <c r="H8" s="8" t="n">
        <f aca="false">SUM(Modèles!C226:G226)</f>
        <v>-828781035</v>
      </c>
      <c r="I8" s="8" t="n">
        <f aca="false">SUM(Modèles!C264:G264)</f>
        <v>-175764925</v>
      </c>
    </row>
    <row r="9" customFormat="false" ht="15" hidden="false" customHeight="false" outlineLevel="0" collapsed="false">
      <c r="A9" s="6" t="s">
        <v>18</v>
      </c>
      <c r="B9" s="7" t="s">
        <v>19</v>
      </c>
      <c r="C9" s="10" t="str">
        <f aca="false">IFERROR(INDEX(Modèles!$C$4:$G$4,MATCH(1,Modèles!C40:G40,0)),"jamais")</f>
        <v>jamais</v>
      </c>
      <c r="D9" s="10" t="str">
        <f aca="false">IFERROR(INDEX(Modèles!$C$4:$G$4,MATCH(1,Modèles!C78:G78,0)),"jamais")</f>
        <v>jamais</v>
      </c>
      <c r="E9" s="10" t="str">
        <f aca="false">IFERROR(INDEX(Modèles!$C$4:$G$4,MATCH(1,Modèles!C116:G116,0)),"jamais")</f>
        <v>jamais</v>
      </c>
      <c r="F9" s="10" t="str">
        <f aca="false">IFERROR(INDEX(Modèles!$C$4:$G$4,MATCH(1,Modèles!C154:G154,0)),"jamais")</f>
        <v>jamais</v>
      </c>
      <c r="G9" s="10" t="str">
        <f aca="false">IFERROR(INDEX(Modèles!$C$4:$G$4,MATCH(1,Modèles!C192:G192,0)),"jamais")</f>
        <v>jamais</v>
      </c>
      <c r="H9" s="10" t="str">
        <f aca="false">IFERROR(INDEX(Modèles!$C$4:$G$4,MATCH(1,Modèles!C230:G230,0)),"jamais")</f>
        <v>jamais</v>
      </c>
      <c r="I9" s="10" t="str">
        <f aca="false">IFERROR(INDEX(Modèles!$C$4:$G$4,MATCH(1,Modèles!C268:G268,0)),"jamais")</f>
        <v>2030</v>
      </c>
    </row>
    <row r="10" customFormat="false" ht="15" hidden="false" customHeight="false" outlineLevel="0" collapsed="false">
      <c r="A10" s="6" t="s">
        <v>20</v>
      </c>
      <c r="B10" s="7" t="s">
        <v>21</v>
      </c>
      <c r="C10" s="8" t="n">
        <f aca="false">-MIN(0,MIN(Modèles!C39:G39))</f>
        <v>1737382325</v>
      </c>
      <c r="D10" s="8" t="n">
        <f aca="false">-MIN(0,MIN(Modèles!C77:G77))</f>
        <v>1167730475</v>
      </c>
      <c r="E10" s="8" t="n">
        <f aca="false">-MIN(0,MIN(Modèles!C115:G115))</f>
        <v>1403446550</v>
      </c>
      <c r="F10" s="8" t="n">
        <f aca="false">-MIN(0,MIN(Modèles!C153:G153))</f>
        <v>1231204835</v>
      </c>
      <c r="G10" s="8" t="n">
        <f aca="false">-MIN(0,MIN(Modèles!C191:G191))</f>
        <v>769550000</v>
      </c>
      <c r="H10" s="8" t="n">
        <f aca="false">-MIN(0,MIN(Modèles!C229:G229))</f>
        <v>873781035</v>
      </c>
      <c r="I10" s="8" t="n">
        <f aca="false">-MIN(0,MIN(Modèles!C267:G267))</f>
        <v>426846485</v>
      </c>
    </row>
    <row r="11" customFormat="false" ht="15" hidden="false" customHeight="false" outlineLevel="0" collapsed="false">
      <c r="A11" s="6" t="s">
        <v>22</v>
      </c>
      <c r="B11" s="7" t="s">
        <v>23</v>
      </c>
      <c r="C11" s="11" t="n">
        <f aca="false">Modèles!G41</f>
        <v>90.2778724855098</v>
      </c>
      <c r="D11" s="11" t="n">
        <f aca="false">Modèles!G79</f>
        <v>1135.41936583703</v>
      </c>
      <c r="E11" s="11" t="n">
        <f aca="false">Modèles!G117</f>
        <v>716.08762359359</v>
      </c>
      <c r="F11" s="11" t="n">
        <f aca="false">Modèles!G155</f>
        <v>1216.41936583703</v>
      </c>
      <c r="G11" s="11" t="n">
        <f aca="false">Modèles!G193</f>
        <v>835</v>
      </c>
      <c r="H11" s="11" t="n">
        <f aca="false">Modèles!G231</f>
        <v>1419.59230789007</v>
      </c>
      <c r="I11" s="11" t="n">
        <f aca="false">Modèles!G269</f>
        <v>1599.48133159523</v>
      </c>
    </row>
    <row r="12" customFormat="false" ht="15" hidden="false" customHeight="false" outlineLevel="0" collapsed="false">
      <c r="A12" s="6" t="s">
        <v>24</v>
      </c>
      <c r="B12" s="7" t="s">
        <v>12</v>
      </c>
      <c r="C12" s="8" t="n">
        <f aca="false">NPV(Hypothèses!$C$54,Modèles!C38:G38)</f>
        <v>-937182079.443159</v>
      </c>
      <c r="D12" s="8" t="n">
        <f aca="false">NPV(Hypothèses!$C$54,Modèles!C76:G76)</f>
        <v>-665682548.193159</v>
      </c>
      <c r="E12" s="8" t="n">
        <f aca="false">NPV(Hypothèses!$C$54,Modèles!C114:G114)</f>
        <v>-773833847.382973</v>
      </c>
      <c r="F12" s="8" t="n">
        <f aca="false">NPV(Hypothèses!$C$54,Modèles!C152:G152)</f>
        <v>-700499332.703189</v>
      </c>
      <c r="G12" s="8" t="n">
        <f aca="false">NPV(Hypothèses!$C$54,Modèles!C190:G190)</f>
        <v>-467573849.022634</v>
      </c>
      <c r="H12" s="8" t="n">
        <f aca="false">NPV(Hypothèses!$C$54,Modèles!C228:G228)</f>
        <v>-546857865.239198</v>
      </c>
      <c r="I12" s="8" t="n">
        <f aca="false">NPV(Hypothèses!$C$54,Modèles!C266:G266)</f>
        <v>-248985830.508938</v>
      </c>
    </row>
    <row r="13" customFormat="false" ht="21.75" hidden="false" customHeight="true" outlineLevel="0" collapsed="false">
      <c r="A13" s="12" t="s">
        <v>25</v>
      </c>
      <c r="C13" s="13" t="str">
        <f aca="false">IF(AND(C6&gt;0,C7&gt;=0.15,IFERROR(VALUE(C9)&lt;=2029,FALSE()),C10&lt;=600000000,C11&gt;0),"✔ RENTABLE","✘ NON VALIDÉ")</f>
        <v>✘ NON VALIDÉ</v>
      </c>
      <c r="D13" s="13" t="str">
        <f aca="false">IF(AND(D6&gt;0,D7&gt;=0.15,IFERROR(VALUE(D9)&lt;=2029,FALSE()),D10&lt;=600000000,D11&gt;0),"✔ RENTABLE","✘ NON VALIDÉ")</f>
        <v>✘ NON VALIDÉ</v>
      </c>
      <c r="E13" s="13" t="str">
        <f aca="false">IF(AND(E6&gt;0,E7&gt;=0.15,IFERROR(VALUE(E9)&lt;=2029,FALSE()),E10&lt;=600000000,E11&gt;0),"✔ RENTABLE","✘ NON VALIDÉ")</f>
        <v>✘ NON VALIDÉ</v>
      </c>
      <c r="F13" s="13" t="str">
        <f aca="false">IF(AND(F6&gt;0,F7&gt;=0.15,IFERROR(VALUE(F9)&lt;=2029,FALSE()),F10&lt;=600000000,F11&gt;0),"✔ RENTABLE","✘ NON VALIDÉ")</f>
        <v>✘ NON VALIDÉ</v>
      </c>
      <c r="G13" s="13" t="str">
        <f aca="false">IF(AND(G6&gt;0,G7&gt;=0.15,IFERROR(VALUE(G9)&lt;=2029,FALSE()),G10&lt;=600000000,G11&gt;0),"✔ RENTABLE","✘ NON VALIDÉ")</f>
        <v>✘ NON VALIDÉ</v>
      </c>
      <c r="H13" s="13" t="str">
        <f aca="false">IF(AND(H6&gt;0,H7&gt;=0.15,IFERROR(VALUE(H9)&lt;=2029,FALSE()),H10&lt;=600000000,H11&gt;0),"✔ RENTABLE","✘ NON VALIDÉ")</f>
        <v>✘ NON VALIDÉ</v>
      </c>
      <c r="I13" s="13" t="str">
        <f aca="false">IF(AND(I6&gt;0,I7&gt;=0.15,IFERROR(VALUE(I9)&lt;=2029,FALSE()),I10&lt;=600000000,I11&gt;0),"✔ RENTABLE","✘ NON VALIDÉ")</f>
        <v>✘ NON VALIDÉ</v>
      </c>
    </row>
    <row r="14" customFormat="false" ht="21.75" hidden="false" customHeight="true" outlineLevel="0" collapsed="false">
      <c r="A14" s="12" t="s">
        <v>26</v>
      </c>
      <c r="C14" s="13" t="str">
        <f aca="false">IF(AND(C6&gt;0,C7&gt;=0.15,IFERROR(VALUE(C9)&lt;=2030,FALSE()),C10&lt;=600000000,C11&gt;0),"✔ RENTABLE","✘ NON VALIDÉ")</f>
        <v>✘ NON VALIDÉ</v>
      </c>
      <c r="D14" s="13" t="str">
        <f aca="false">IF(AND(D6&gt;0,D7&gt;=0.15,IFERROR(VALUE(D9)&lt;=2030,FALSE()),D10&lt;=600000000,D11&gt;0),"✔ RENTABLE","✘ NON VALIDÉ")</f>
        <v>✘ NON VALIDÉ</v>
      </c>
      <c r="E14" s="13" t="str">
        <f aca="false">IF(AND(E6&gt;0,E7&gt;=0.15,IFERROR(VALUE(E9)&lt;=2030,FALSE()),E10&lt;=600000000,E11&gt;0),"✔ RENTABLE","✘ NON VALIDÉ")</f>
        <v>✘ NON VALIDÉ</v>
      </c>
      <c r="F14" s="13" t="str">
        <f aca="false">IF(AND(F6&gt;0,F7&gt;=0.15,IFERROR(VALUE(F9)&lt;=2030,FALSE()),F10&lt;=600000000,F11&gt;0),"✔ RENTABLE","✘ NON VALIDÉ")</f>
        <v>✘ NON VALIDÉ</v>
      </c>
      <c r="G14" s="13" t="str">
        <f aca="false">IF(AND(G6&gt;0,G7&gt;=0.15,IFERROR(VALUE(G9)&lt;=2030,FALSE()),G10&lt;=600000000,G11&gt;0),"✔ RENTABLE","✘ NON VALIDÉ")</f>
        <v>✘ NON VALIDÉ</v>
      </c>
      <c r="H14" s="13" t="str">
        <f aca="false">IF(AND(H6&gt;0,H7&gt;=0.15,IFERROR(VALUE(H9)&lt;=2030,FALSE()),H10&lt;=600000000,H11&gt;0),"✔ RENTABLE","✘ NON VALIDÉ")</f>
        <v>✘ NON VALIDÉ</v>
      </c>
      <c r="I14" s="13" t="str">
        <f aca="false">IF(AND(I6&gt;0,I7&gt;=0.15,IFERROR(VALUE(I9)&lt;=2030,FALSE()),I10&lt;=600000000,I11&gt;0),"✔ RENTABLE","✘ NON VALIDÉ")</f>
        <v>✔ RENTABLE</v>
      </c>
    </row>
    <row r="16" customFormat="false" ht="15" hidden="false" customHeight="false" outlineLevel="0" collapsed="false">
      <c r="A16" s="12" t="s">
        <v>27</v>
      </c>
    </row>
    <row r="17" customFormat="false" ht="30" hidden="false" customHeight="true" outlineLevel="0" collapsed="false">
      <c r="A17" s="14" t="s">
        <v>28</v>
      </c>
      <c r="B17" s="14"/>
      <c r="C17" s="14"/>
      <c r="D17" s="14"/>
      <c r="E17" s="14"/>
      <c r="F17" s="14"/>
      <c r="G17" s="14"/>
      <c r="H17" s="14"/>
      <c r="I17" s="14"/>
    </row>
    <row r="18" customFormat="false" ht="30" hidden="false" customHeight="true" outlineLevel="0" collapsed="false">
      <c r="A18" s="14" t="s">
        <v>29</v>
      </c>
      <c r="B18" s="14"/>
      <c r="C18" s="14"/>
      <c r="D18" s="14"/>
      <c r="E18" s="14"/>
      <c r="F18" s="14"/>
      <c r="G18" s="14"/>
      <c r="H18" s="14"/>
      <c r="I18" s="14"/>
    </row>
    <row r="19" customFormat="false" ht="30" hidden="false" customHeight="true" outlineLevel="0" collapsed="false">
      <c r="A19" s="14" t="s">
        <v>30</v>
      </c>
      <c r="B19" s="14"/>
      <c r="C19" s="14"/>
      <c r="D19" s="14"/>
      <c r="E19" s="14"/>
      <c r="F19" s="14"/>
      <c r="G19" s="14"/>
      <c r="H19" s="14"/>
      <c r="I19" s="14"/>
    </row>
  </sheetData>
  <mergeCells count="3">
    <mergeCell ref="A17:I17"/>
    <mergeCell ref="A18:I18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  <col collapsed="false" customWidth="true" hidden="false" outlineLevel="0" max="9" min="3" style="0" width="15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31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32</v>
      </c>
    </row>
    <row r="3" customFormat="false" ht="15" hidden="false" customHeight="false" outlineLevel="0" collapsed="false">
      <c r="A3" s="7" t="s">
        <v>33</v>
      </c>
    </row>
    <row r="5" customFormat="false" ht="15" hidden="false" customHeight="false" outlineLevel="0" collapsed="false">
      <c r="A5" s="15" t="s">
        <v>34</v>
      </c>
      <c r="B5" s="16"/>
      <c r="C5" s="16"/>
      <c r="D5" s="16"/>
      <c r="E5" s="16"/>
      <c r="F5" s="16"/>
      <c r="G5" s="16"/>
      <c r="H5" s="16"/>
      <c r="I5" s="16"/>
    </row>
    <row r="6" customFormat="false" ht="39.55" hidden="false" customHeight="false" outlineLevel="0" collapsed="false">
      <c r="A6" s="17" t="s">
        <v>35</v>
      </c>
      <c r="B6" s="17" t="s">
        <v>36</v>
      </c>
      <c r="C6" s="17" t="s">
        <v>37</v>
      </c>
      <c r="D6" s="17" t="s">
        <v>38</v>
      </c>
      <c r="E6" s="17" t="s">
        <v>39</v>
      </c>
      <c r="F6" s="17" t="s">
        <v>40</v>
      </c>
    </row>
    <row r="7" customFormat="false" ht="15" hidden="false" customHeight="false" outlineLevel="0" collapsed="false">
      <c r="A7" s="6" t="s">
        <v>41</v>
      </c>
      <c r="B7" s="18" t="n">
        <v>2027</v>
      </c>
      <c r="C7" s="19" t="n">
        <v>12.9</v>
      </c>
      <c r="D7" s="20" t="n">
        <v>1</v>
      </c>
      <c r="E7" s="21" t="n">
        <v>12500</v>
      </c>
      <c r="F7" s="7" t="s">
        <v>42</v>
      </c>
    </row>
    <row r="8" customFormat="false" ht="15" hidden="false" customHeight="false" outlineLevel="0" collapsed="false">
      <c r="A8" s="6" t="s">
        <v>43</v>
      </c>
      <c r="B8" s="18" t="n">
        <v>2029</v>
      </c>
      <c r="C8" s="19" t="n">
        <v>18</v>
      </c>
      <c r="D8" s="20" t="n">
        <v>0.7</v>
      </c>
      <c r="E8" s="21" t="n">
        <v>20000</v>
      </c>
      <c r="F8" s="7" t="s">
        <v>44</v>
      </c>
    </row>
    <row r="9" customFormat="false" ht="15" hidden="false" customHeight="false" outlineLevel="0" collapsed="false">
      <c r="A9" s="6" t="s">
        <v>45</v>
      </c>
      <c r="B9" s="18" t="n">
        <v>2030</v>
      </c>
      <c r="C9" s="19" t="n">
        <v>12</v>
      </c>
      <c r="D9" s="20" t="n">
        <v>0.7</v>
      </c>
      <c r="E9" s="21" t="n">
        <v>12500</v>
      </c>
      <c r="F9" s="7" t="s">
        <v>46</v>
      </c>
    </row>
    <row r="10" customFormat="false" ht="15" hidden="false" customHeight="false" outlineLevel="0" collapsed="false">
      <c r="A10" s="6" t="s">
        <v>47</v>
      </c>
      <c r="B10" s="18" t="n">
        <v>2031</v>
      </c>
      <c r="C10" s="19" t="n">
        <v>12.5</v>
      </c>
      <c r="D10" s="20" t="n">
        <v>0.6</v>
      </c>
      <c r="E10" s="21" t="n">
        <v>10000</v>
      </c>
      <c r="F10" s="7" t="s">
        <v>48</v>
      </c>
    </row>
    <row r="11" customFormat="false" ht="15" hidden="false" customHeight="false" outlineLevel="0" collapsed="false">
      <c r="A11" s="6" t="s">
        <v>49</v>
      </c>
      <c r="B11" s="18" t="n">
        <v>2031</v>
      </c>
      <c r="C11" s="19" t="n">
        <v>10.5</v>
      </c>
      <c r="D11" s="20" t="n">
        <v>0.5</v>
      </c>
      <c r="E11" s="21" t="n">
        <v>20000</v>
      </c>
      <c r="F11" s="7" t="s">
        <v>50</v>
      </c>
    </row>
    <row r="12" customFormat="false" ht="15" hidden="false" customHeight="false" outlineLevel="0" collapsed="false">
      <c r="A12" s="6" t="s">
        <v>51</v>
      </c>
      <c r="B12" s="18" t="n">
        <v>2032</v>
      </c>
      <c r="C12" s="19" t="n">
        <v>13</v>
      </c>
      <c r="D12" s="20" t="n">
        <v>0.7</v>
      </c>
      <c r="E12" s="21" t="n">
        <v>15000</v>
      </c>
      <c r="F12" s="7" t="s">
        <v>52</v>
      </c>
    </row>
    <row r="14" customFormat="false" ht="15" hidden="false" customHeight="false" outlineLevel="0" collapsed="false">
      <c r="A14" s="15" t="s">
        <v>53</v>
      </c>
      <c r="B14" s="16"/>
      <c r="C14" s="16"/>
      <c r="D14" s="16"/>
      <c r="E14" s="16"/>
      <c r="F14" s="16"/>
      <c r="G14" s="16"/>
      <c r="H14" s="16"/>
      <c r="I14" s="16"/>
    </row>
    <row r="15" customFormat="false" ht="15" hidden="false" customHeight="false" outlineLevel="0" collapsed="false">
      <c r="A15" s="12" t="s">
        <v>54</v>
      </c>
      <c r="B15" s="12" t="s">
        <v>55</v>
      </c>
      <c r="C15" s="12" t="s">
        <v>56</v>
      </c>
      <c r="D15" s="12" t="s">
        <v>57</v>
      </c>
      <c r="E15" s="12" t="s">
        <v>58</v>
      </c>
      <c r="F15" s="12" t="s">
        <v>59</v>
      </c>
      <c r="G15" s="12" t="s">
        <v>60</v>
      </c>
      <c r="H15" s="12" t="s">
        <v>40</v>
      </c>
    </row>
    <row r="16" customFormat="false" ht="15" hidden="false" customHeight="false" outlineLevel="0" collapsed="false">
      <c r="A16" s="6" t="s">
        <v>61</v>
      </c>
      <c r="B16" s="6" t="s">
        <v>62</v>
      </c>
      <c r="C16" s="22" t="n">
        <v>0.0006</v>
      </c>
      <c r="D16" s="22" t="n">
        <v>0.0023</v>
      </c>
      <c r="E16" s="22" t="n">
        <v>0.0055</v>
      </c>
      <c r="F16" s="22" t="n">
        <v>0.009</v>
      </c>
      <c r="G16" s="22" t="n">
        <v>0.013</v>
      </c>
      <c r="H16" s="7" t="s">
        <v>63</v>
      </c>
    </row>
    <row r="17" customFormat="false" ht="15" hidden="false" customHeight="false" outlineLevel="0" collapsed="false">
      <c r="A17" s="6" t="s">
        <v>64</v>
      </c>
      <c r="B17" s="6" t="s">
        <v>62</v>
      </c>
      <c r="C17" s="23" t="n">
        <v>0.15</v>
      </c>
      <c r="D17" s="23" t="n">
        <v>0.25</v>
      </c>
      <c r="E17" s="23" t="n">
        <v>0.3</v>
      </c>
      <c r="F17" s="23" t="n">
        <v>0.35</v>
      </c>
      <c r="G17" s="23" t="n">
        <v>0.4</v>
      </c>
      <c r="H17" s="7" t="s">
        <v>65</v>
      </c>
    </row>
    <row r="18" customFormat="false" ht="15" hidden="false" customHeight="false" outlineLevel="0" collapsed="false">
      <c r="A18" s="6" t="s">
        <v>66</v>
      </c>
      <c r="B18" s="6" t="s">
        <v>62</v>
      </c>
      <c r="C18" s="23" t="n">
        <v>0.03</v>
      </c>
      <c r="D18" s="23" t="n">
        <v>0.06</v>
      </c>
      <c r="E18" s="23" t="n">
        <v>0.1</v>
      </c>
      <c r="F18" s="23" t="n">
        <v>0.12</v>
      </c>
      <c r="G18" s="23" t="n">
        <v>0.14</v>
      </c>
      <c r="H18" s="7"/>
    </row>
    <row r="19" customFormat="false" ht="15" hidden="false" customHeight="false" outlineLevel="0" collapsed="false">
      <c r="A19" s="6" t="s">
        <v>67</v>
      </c>
      <c r="B19" s="6" t="s">
        <v>68</v>
      </c>
      <c r="C19" s="21" t="n">
        <v>5000</v>
      </c>
      <c r="D19" s="21" t="n">
        <v>30000</v>
      </c>
      <c r="E19" s="21" t="n">
        <v>80000</v>
      </c>
      <c r="F19" s="21" t="n">
        <v>150000</v>
      </c>
      <c r="G19" s="21" t="n">
        <v>250000</v>
      </c>
      <c r="H19" s="7" t="s">
        <v>69</v>
      </c>
    </row>
    <row r="20" customFormat="false" ht="15" hidden="false" customHeight="false" outlineLevel="0" collapsed="false">
      <c r="A20" s="6" t="s">
        <v>70</v>
      </c>
      <c r="B20" s="6" t="s">
        <v>71</v>
      </c>
      <c r="C20" s="24" t="n">
        <v>8</v>
      </c>
      <c r="D20" s="24" t="n">
        <v>12</v>
      </c>
      <c r="E20" s="24" t="n">
        <v>16</v>
      </c>
      <c r="F20" s="24" t="n">
        <v>20</v>
      </c>
      <c r="G20" s="24" t="n">
        <v>24</v>
      </c>
      <c r="H20" s="7" t="s">
        <v>72</v>
      </c>
    </row>
    <row r="21" customFormat="false" ht="15" hidden="false" customHeight="false" outlineLevel="0" collapsed="false">
      <c r="A21" s="6" t="s">
        <v>73</v>
      </c>
      <c r="B21" s="6" t="s">
        <v>62</v>
      </c>
      <c r="C21" s="25" t="n">
        <v>0</v>
      </c>
      <c r="D21" s="25" t="n">
        <v>0.5</v>
      </c>
      <c r="E21" s="25" t="n">
        <v>1</v>
      </c>
      <c r="F21" s="25" t="n">
        <v>1</v>
      </c>
      <c r="G21" s="25" t="n">
        <v>1</v>
      </c>
      <c r="H21" s="7" t="s">
        <v>74</v>
      </c>
    </row>
    <row r="23" customFormat="false" ht="15" hidden="false" customHeight="false" outlineLevel="0" collapsed="false">
      <c r="A23" s="15" t="s">
        <v>75</v>
      </c>
      <c r="B23" s="16"/>
      <c r="C23" s="16"/>
      <c r="D23" s="16"/>
      <c r="E23" s="16"/>
      <c r="F23" s="16"/>
      <c r="G23" s="16"/>
      <c r="H23" s="16"/>
      <c r="I23" s="16"/>
    </row>
    <row r="24" customFormat="false" ht="15" hidden="false" customHeight="false" outlineLevel="0" collapsed="false">
      <c r="A24" s="6" t="s">
        <v>76</v>
      </c>
      <c r="B24" s="6" t="s">
        <v>62</v>
      </c>
      <c r="C24" s="23" t="n">
        <v>0.01</v>
      </c>
      <c r="H24" s="7" t="s">
        <v>77</v>
      </c>
    </row>
    <row r="25" customFormat="false" ht="15" hidden="false" customHeight="false" outlineLevel="0" collapsed="false">
      <c r="A25" s="6" t="s">
        <v>78</v>
      </c>
      <c r="B25" s="6" t="s">
        <v>62</v>
      </c>
      <c r="C25" s="23" t="n">
        <v>0.005</v>
      </c>
      <c r="H25" s="7"/>
    </row>
    <row r="26" customFormat="false" ht="15" hidden="false" customHeight="false" outlineLevel="0" collapsed="false">
      <c r="A26" s="6" t="s">
        <v>79</v>
      </c>
      <c r="B26" s="6" t="s">
        <v>80</v>
      </c>
      <c r="C26" s="24" t="n">
        <v>150</v>
      </c>
      <c r="H26" s="7" t="s">
        <v>81</v>
      </c>
    </row>
    <row r="27" customFormat="false" ht="15" hidden="false" customHeight="false" outlineLevel="0" collapsed="false">
      <c r="A27" s="6" t="s">
        <v>82</v>
      </c>
      <c r="B27" s="6" t="s">
        <v>80</v>
      </c>
      <c r="C27" s="24" t="n">
        <v>120</v>
      </c>
      <c r="H27" s="7"/>
    </row>
    <row r="28" customFormat="false" ht="15" hidden="false" customHeight="false" outlineLevel="0" collapsed="false">
      <c r="A28" s="6" t="s">
        <v>83</v>
      </c>
      <c r="B28" s="6" t="s">
        <v>80</v>
      </c>
      <c r="C28" s="24" t="n">
        <v>250</v>
      </c>
      <c r="H28" s="7" t="s">
        <v>84</v>
      </c>
    </row>
    <row r="29" customFormat="false" ht="15" hidden="false" customHeight="false" outlineLevel="0" collapsed="false">
      <c r="A29" s="6" t="s">
        <v>85</v>
      </c>
      <c r="B29" s="6" t="s">
        <v>62</v>
      </c>
      <c r="C29" s="25" t="n">
        <v>0.5</v>
      </c>
      <c r="H29" s="7"/>
    </row>
    <row r="30" customFormat="false" ht="15" hidden="false" customHeight="false" outlineLevel="0" collapsed="false">
      <c r="A30" s="6" t="s">
        <v>86</v>
      </c>
      <c r="B30" s="6" t="s">
        <v>68</v>
      </c>
      <c r="C30" s="24" t="n">
        <v>12</v>
      </c>
      <c r="H30" s="7"/>
    </row>
    <row r="31" customFormat="false" ht="15" hidden="false" customHeight="false" outlineLevel="0" collapsed="false">
      <c r="A31" s="6" t="s">
        <v>87</v>
      </c>
      <c r="B31" s="6" t="s">
        <v>80</v>
      </c>
      <c r="C31" s="24" t="n">
        <v>2000</v>
      </c>
      <c r="H31" s="7" t="s">
        <v>88</v>
      </c>
    </row>
    <row r="32" customFormat="false" ht="15" hidden="false" customHeight="false" outlineLevel="0" collapsed="false">
      <c r="A32" s="6" t="s">
        <v>89</v>
      </c>
      <c r="B32" s="6" t="s">
        <v>80</v>
      </c>
      <c r="C32" s="24" t="n">
        <v>500</v>
      </c>
      <c r="H32" s="7" t="s">
        <v>90</v>
      </c>
    </row>
    <row r="33" customFormat="false" ht="15" hidden="false" customHeight="false" outlineLevel="0" collapsed="false">
      <c r="A33" s="6" t="s">
        <v>91</v>
      </c>
      <c r="B33" s="6" t="s">
        <v>80</v>
      </c>
      <c r="C33" s="24" t="n">
        <v>8000</v>
      </c>
      <c r="H33" s="7" t="s">
        <v>92</v>
      </c>
    </row>
    <row r="34" customFormat="false" ht="15" hidden="false" customHeight="false" outlineLevel="0" collapsed="false">
      <c r="A34" s="6" t="s">
        <v>93</v>
      </c>
      <c r="B34" s="6" t="s">
        <v>62</v>
      </c>
      <c r="C34" s="25" t="n">
        <v>0.03</v>
      </c>
      <c r="H34" s="7" t="s">
        <v>94</v>
      </c>
    </row>
    <row r="35" customFormat="false" ht="15" hidden="false" customHeight="false" outlineLevel="0" collapsed="false">
      <c r="A35" s="6" t="s">
        <v>95</v>
      </c>
      <c r="B35" s="6" t="s">
        <v>80</v>
      </c>
      <c r="C35" s="24" t="n">
        <v>50000</v>
      </c>
      <c r="H35" s="7"/>
    </row>
    <row r="36" customFormat="false" ht="15" hidden="false" customHeight="false" outlineLevel="0" collapsed="false">
      <c r="A36" s="6" t="s">
        <v>96</v>
      </c>
      <c r="B36" s="6" t="s">
        <v>62</v>
      </c>
      <c r="C36" s="25" t="n">
        <v>0.045</v>
      </c>
      <c r="H36" s="7" t="s">
        <v>97</v>
      </c>
    </row>
    <row r="37" customFormat="false" ht="15" hidden="false" customHeight="false" outlineLevel="0" collapsed="false">
      <c r="A37" s="6" t="s">
        <v>98</v>
      </c>
      <c r="B37" s="6" t="s">
        <v>62</v>
      </c>
      <c r="C37" s="23" t="n">
        <v>0.4</v>
      </c>
      <c r="H37" s="7" t="s">
        <v>99</v>
      </c>
    </row>
    <row r="38" customFormat="false" ht="15" hidden="false" customHeight="false" outlineLevel="0" collapsed="false">
      <c r="A38" s="6" t="s">
        <v>100</v>
      </c>
      <c r="B38" s="6" t="s">
        <v>62</v>
      </c>
      <c r="C38" s="23" t="n">
        <v>0.03</v>
      </c>
      <c r="H38" s="7" t="s">
        <v>101</v>
      </c>
    </row>
    <row r="39" customFormat="false" ht="15" hidden="false" customHeight="false" outlineLevel="0" collapsed="false">
      <c r="A39" s="6" t="s">
        <v>102</v>
      </c>
      <c r="B39" s="6" t="s">
        <v>62</v>
      </c>
      <c r="C39" s="25" t="n">
        <v>0.5</v>
      </c>
      <c r="H39" s="7"/>
    </row>
    <row r="40" customFormat="false" ht="15" hidden="false" customHeight="false" outlineLevel="0" collapsed="false">
      <c r="A40" s="6" t="s">
        <v>103</v>
      </c>
      <c r="B40" s="6" t="s">
        <v>62</v>
      </c>
      <c r="C40" s="25" t="n">
        <v>0.01</v>
      </c>
      <c r="H40" s="7"/>
    </row>
    <row r="41" customFormat="false" ht="15" hidden="false" customHeight="false" outlineLevel="0" collapsed="false">
      <c r="A41" s="6" t="s">
        <v>104</v>
      </c>
      <c r="B41" s="6" t="s">
        <v>62</v>
      </c>
      <c r="C41" s="25" t="n">
        <v>0.1</v>
      </c>
      <c r="H41" s="7" t="s">
        <v>105</v>
      </c>
    </row>
    <row r="42" customFormat="false" ht="15" hidden="false" customHeight="false" outlineLevel="0" collapsed="false">
      <c r="A42" s="6" t="s">
        <v>106</v>
      </c>
      <c r="B42" s="6" t="s">
        <v>80</v>
      </c>
      <c r="C42" s="24" t="n">
        <v>3000</v>
      </c>
      <c r="H42" s="7"/>
    </row>
    <row r="43" customFormat="false" ht="15" hidden="false" customHeight="false" outlineLevel="0" collapsed="false">
      <c r="A43" s="6" t="s">
        <v>107</v>
      </c>
      <c r="B43" s="6" t="s">
        <v>62</v>
      </c>
      <c r="C43" s="25" t="n">
        <v>0.2</v>
      </c>
      <c r="H43" s="7"/>
    </row>
    <row r="44" customFormat="false" ht="15" hidden="false" customHeight="false" outlineLevel="0" collapsed="false">
      <c r="A44" s="6" t="s">
        <v>108</v>
      </c>
      <c r="B44" s="6" t="s">
        <v>80</v>
      </c>
      <c r="C44" s="21" t="n">
        <v>75</v>
      </c>
      <c r="H44" s="7" t="s">
        <v>109</v>
      </c>
    </row>
    <row r="45" customFormat="false" ht="15" hidden="false" customHeight="false" outlineLevel="0" collapsed="false">
      <c r="A45" s="6" t="s">
        <v>110</v>
      </c>
      <c r="B45" s="6" t="s">
        <v>80</v>
      </c>
      <c r="C45" s="24" t="n">
        <v>10000</v>
      </c>
      <c r="H45" s="7"/>
    </row>
    <row r="46" customFormat="false" ht="15" hidden="false" customHeight="false" outlineLevel="0" collapsed="false">
      <c r="A46" s="6" t="s">
        <v>111</v>
      </c>
      <c r="B46" s="6" t="s">
        <v>80</v>
      </c>
      <c r="C46" s="24" t="n">
        <v>6000000</v>
      </c>
      <c r="H46" s="7" t="s">
        <v>112</v>
      </c>
    </row>
    <row r="47" customFormat="false" ht="15" hidden="false" customHeight="false" outlineLevel="0" collapsed="false">
      <c r="A47" s="6" t="s">
        <v>113</v>
      </c>
      <c r="B47" s="6" t="s">
        <v>80</v>
      </c>
      <c r="C47" s="24" t="n">
        <v>45000000</v>
      </c>
      <c r="H47" s="7" t="s">
        <v>114</v>
      </c>
    </row>
    <row r="48" customFormat="false" ht="15" hidden="false" customHeight="false" outlineLevel="0" collapsed="false">
      <c r="A48" s="6" t="s">
        <v>115</v>
      </c>
      <c r="B48" s="6" t="s">
        <v>80</v>
      </c>
      <c r="C48" s="24" t="n">
        <v>12000000</v>
      </c>
      <c r="H48" s="7"/>
    </row>
    <row r="49" customFormat="false" ht="15" hidden="false" customHeight="false" outlineLevel="0" collapsed="false">
      <c r="A49" s="6" t="s">
        <v>116</v>
      </c>
      <c r="B49" s="6" t="s">
        <v>80</v>
      </c>
      <c r="C49" s="24" t="n">
        <v>40000000</v>
      </c>
      <c r="H49" s="7"/>
    </row>
    <row r="50" customFormat="false" ht="15" hidden="false" customHeight="false" outlineLevel="0" collapsed="false">
      <c r="A50" s="6" t="s">
        <v>117</v>
      </c>
      <c r="B50" s="6" t="s">
        <v>80</v>
      </c>
      <c r="C50" s="24" t="n">
        <v>30000000</v>
      </c>
      <c r="H50" s="7"/>
    </row>
    <row r="51" customFormat="false" ht="15" hidden="false" customHeight="false" outlineLevel="0" collapsed="false">
      <c r="A51" s="6" t="s">
        <v>118</v>
      </c>
      <c r="B51" s="6" t="s">
        <v>80</v>
      </c>
      <c r="C51" s="24" t="n">
        <v>25000000</v>
      </c>
      <c r="H51" s="7"/>
    </row>
    <row r="52" customFormat="false" ht="15" hidden="false" customHeight="false" outlineLevel="0" collapsed="false">
      <c r="A52" s="6" t="s">
        <v>119</v>
      </c>
      <c r="B52" s="6" t="s">
        <v>80</v>
      </c>
      <c r="C52" s="24" t="n">
        <v>45000000</v>
      </c>
      <c r="H52" s="7" t="s">
        <v>120</v>
      </c>
    </row>
    <row r="53" customFormat="false" ht="15" hidden="false" customHeight="false" outlineLevel="0" collapsed="false">
      <c r="A53" s="6" t="s">
        <v>121</v>
      </c>
      <c r="B53" s="6" t="s">
        <v>62</v>
      </c>
      <c r="C53" s="25" t="n">
        <v>0.275</v>
      </c>
      <c r="H53" s="7" t="s">
        <v>122</v>
      </c>
    </row>
    <row r="54" customFormat="false" ht="15" hidden="false" customHeight="false" outlineLevel="0" collapsed="false">
      <c r="A54" s="6" t="s">
        <v>123</v>
      </c>
      <c r="B54" s="6" t="s">
        <v>62</v>
      </c>
      <c r="C54" s="25" t="n">
        <v>0.2</v>
      </c>
      <c r="H54" s="7" t="s">
        <v>124</v>
      </c>
    </row>
    <row r="56" customFormat="false" ht="15" hidden="false" customHeight="false" outlineLevel="0" collapsed="false">
      <c r="A56" s="15" t="s">
        <v>125</v>
      </c>
      <c r="B56" s="16"/>
      <c r="C56" s="16"/>
      <c r="D56" s="16"/>
      <c r="E56" s="16"/>
      <c r="F56" s="16"/>
      <c r="G56" s="16"/>
      <c r="H56" s="16"/>
      <c r="I56" s="16"/>
    </row>
    <row r="57" customFormat="false" ht="30" hidden="false" customHeight="true" outlineLevel="0" collapsed="false">
      <c r="A57" s="12" t="s">
        <v>126</v>
      </c>
      <c r="C57" s="17" t="s">
        <v>4</v>
      </c>
      <c r="D57" s="17" t="s">
        <v>5</v>
      </c>
      <c r="E57" s="17" t="s">
        <v>6</v>
      </c>
      <c r="F57" s="17" t="s">
        <v>7</v>
      </c>
      <c r="G57" s="17" t="s">
        <v>8</v>
      </c>
      <c r="H57" s="17" t="s">
        <v>9</v>
      </c>
      <c r="I57" s="17" t="s">
        <v>10</v>
      </c>
    </row>
    <row r="58" customFormat="false" ht="15" hidden="false" customHeight="false" outlineLevel="0" collapsed="false">
      <c r="A58" s="6" t="s">
        <v>127</v>
      </c>
      <c r="C58" s="18" t="n">
        <v>1</v>
      </c>
      <c r="D58" s="18" t="n">
        <v>1</v>
      </c>
      <c r="E58" s="18" t="n">
        <v>1</v>
      </c>
      <c r="F58" s="18" t="n">
        <v>1</v>
      </c>
      <c r="G58" s="18" t="n">
        <v>0</v>
      </c>
      <c r="H58" s="18" t="n">
        <v>1</v>
      </c>
      <c r="I58" s="18" t="n">
        <v>1</v>
      </c>
    </row>
    <row r="59" customFormat="false" ht="15" hidden="false" customHeight="false" outlineLevel="0" collapsed="false">
      <c r="A59" s="6" t="s">
        <v>128</v>
      </c>
      <c r="C59" s="25" t="n">
        <v>0.01</v>
      </c>
      <c r="D59" s="25" t="n">
        <v>0.01</v>
      </c>
      <c r="E59" s="25" t="n">
        <v>0</v>
      </c>
      <c r="F59" s="25" t="n">
        <v>0.01</v>
      </c>
      <c r="G59" s="25" t="n">
        <v>0</v>
      </c>
      <c r="H59" s="25" t="n">
        <v>0.01</v>
      </c>
      <c r="I59" s="25" t="n">
        <v>0.01</v>
      </c>
    </row>
    <row r="60" customFormat="false" ht="15" hidden="false" customHeight="false" outlineLevel="0" collapsed="false">
      <c r="A60" s="6" t="s">
        <v>129</v>
      </c>
      <c r="C60" s="25" t="n">
        <v>0</v>
      </c>
      <c r="D60" s="25" t="n">
        <v>0.01</v>
      </c>
      <c r="E60" s="25" t="n">
        <v>0</v>
      </c>
      <c r="F60" s="25" t="n">
        <v>0.01</v>
      </c>
      <c r="G60" s="25" t="n">
        <v>0</v>
      </c>
      <c r="H60" s="25" t="n">
        <v>0.01</v>
      </c>
      <c r="I60" s="25" t="n">
        <v>0.01</v>
      </c>
    </row>
    <row r="61" customFormat="false" ht="15" hidden="false" customHeight="false" outlineLevel="0" collapsed="false">
      <c r="A61" s="6" t="s">
        <v>130</v>
      </c>
      <c r="C61" s="18" t="n">
        <v>0</v>
      </c>
      <c r="D61" s="18" t="n">
        <v>0</v>
      </c>
      <c r="E61" s="18" t="n">
        <v>1</v>
      </c>
      <c r="F61" s="18" t="n">
        <v>0</v>
      </c>
      <c r="G61" s="18" t="n">
        <v>1</v>
      </c>
      <c r="H61" s="18" t="n">
        <v>0</v>
      </c>
      <c r="I61" s="18" t="n">
        <v>0</v>
      </c>
      <c r="J61" s="7" t="s">
        <v>131</v>
      </c>
    </row>
    <row r="62" customFormat="false" ht="15" hidden="false" customHeight="false" outlineLevel="0" collapsed="false">
      <c r="A62" s="6" t="s">
        <v>132</v>
      </c>
      <c r="C62" s="25" t="n">
        <v>0</v>
      </c>
      <c r="D62" s="25" t="n">
        <v>0</v>
      </c>
      <c r="E62" s="25" t="n">
        <v>0.25</v>
      </c>
      <c r="F62" s="25" t="n">
        <v>0</v>
      </c>
      <c r="G62" s="25" t="n">
        <v>0</v>
      </c>
      <c r="H62" s="25" t="n">
        <v>0.15</v>
      </c>
      <c r="I62" s="25" t="n">
        <v>0.15</v>
      </c>
    </row>
    <row r="63" customFormat="false" ht="15" hidden="false" customHeight="false" outlineLevel="0" collapsed="false">
      <c r="A63" s="6" t="s">
        <v>133</v>
      </c>
      <c r="C63" s="25" t="n">
        <v>0</v>
      </c>
      <c r="D63" s="25" t="n">
        <v>0</v>
      </c>
      <c r="E63" s="25" t="n">
        <v>0.05</v>
      </c>
      <c r="F63" s="25" t="n">
        <v>0</v>
      </c>
      <c r="G63" s="25" t="n">
        <v>0</v>
      </c>
      <c r="H63" s="25" t="n">
        <v>0.03</v>
      </c>
      <c r="I63" s="25" t="n">
        <v>0.03</v>
      </c>
    </row>
    <row r="64" customFormat="false" ht="15" hidden="false" customHeight="false" outlineLevel="0" collapsed="false">
      <c r="A64" s="6" t="s">
        <v>134</v>
      </c>
      <c r="C64" s="18" t="n">
        <v>1</v>
      </c>
      <c r="D64" s="18" t="n">
        <v>1</v>
      </c>
      <c r="E64" s="18" t="n">
        <v>1</v>
      </c>
      <c r="F64" s="18" t="n">
        <v>1</v>
      </c>
      <c r="G64" s="18" t="n">
        <v>0</v>
      </c>
      <c r="H64" s="18" t="n">
        <v>1</v>
      </c>
      <c r="I64" s="18" t="n">
        <v>1</v>
      </c>
    </row>
    <row r="65" customFormat="false" ht="15" hidden="false" customHeight="false" outlineLevel="0" collapsed="false">
      <c r="A65" s="6" t="s">
        <v>135</v>
      </c>
      <c r="C65" s="18" t="n">
        <v>0</v>
      </c>
      <c r="D65" s="18" t="n">
        <v>0</v>
      </c>
      <c r="E65" s="18" t="n">
        <v>0</v>
      </c>
      <c r="F65" s="18" t="n">
        <v>1</v>
      </c>
      <c r="G65" s="18" t="n">
        <v>0</v>
      </c>
      <c r="H65" s="18" t="n">
        <v>1</v>
      </c>
      <c r="I65" s="18" t="n">
        <v>1</v>
      </c>
    </row>
    <row r="66" customFormat="false" ht="15" hidden="false" customHeight="false" outlineLevel="0" collapsed="false">
      <c r="A66" s="6" t="s">
        <v>136</v>
      </c>
      <c r="C66" s="18" t="n">
        <v>0</v>
      </c>
      <c r="D66" s="18" t="n">
        <v>0</v>
      </c>
      <c r="E66" s="18" t="n">
        <v>0</v>
      </c>
      <c r="F66" s="18" t="n">
        <v>1</v>
      </c>
      <c r="G66" s="18" t="n">
        <v>0</v>
      </c>
      <c r="H66" s="18" t="n">
        <v>1</v>
      </c>
      <c r="I66" s="18" t="n">
        <v>1</v>
      </c>
    </row>
    <row r="67" customFormat="false" ht="15" hidden="false" customHeight="false" outlineLevel="0" collapsed="false">
      <c r="A67" s="6" t="s">
        <v>137</v>
      </c>
      <c r="C67" s="25" t="n">
        <v>0</v>
      </c>
      <c r="D67" s="25" t="n">
        <v>0</v>
      </c>
      <c r="E67" s="25" t="n">
        <v>0</v>
      </c>
      <c r="F67" s="25" t="n">
        <v>0</v>
      </c>
      <c r="G67" s="25" t="n">
        <v>1</v>
      </c>
      <c r="H67" s="25" t="n">
        <v>0.5</v>
      </c>
      <c r="I67" s="25" t="n">
        <v>1</v>
      </c>
    </row>
    <row r="68" customFormat="false" ht="15" hidden="false" customHeight="false" outlineLevel="0" collapsed="false">
      <c r="A68" s="6" t="s">
        <v>138</v>
      </c>
      <c r="C68" s="24" t="n">
        <v>1200</v>
      </c>
      <c r="D68" s="24" t="n">
        <v>1200</v>
      </c>
      <c r="E68" s="24" t="n">
        <v>1400</v>
      </c>
      <c r="F68" s="24" t="n">
        <v>1200</v>
      </c>
      <c r="G68" s="24" t="n">
        <v>0</v>
      </c>
      <c r="H68" s="24" t="n">
        <v>1000</v>
      </c>
      <c r="I68" s="24" t="n">
        <v>1000</v>
      </c>
      <c r="J68" s="7" t="s">
        <v>139</v>
      </c>
    </row>
    <row r="69" customFormat="false" ht="15" hidden="false" customHeight="false" outlineLevel="0" collapsed="false">
      <c r="A69" s="6" t="s">
        <v>140</v>
      </c>
      <c r="C69" s="24" t="n">
        <v>0</v>
      </c>
      <c r="D69" s="24" t="n">
        <v>0</v>
      </c>
      <c r="E69" s="24" t="n">
        <v>0</v>
      </c>
      <c r="F69" s="24" t="n">
        <v>0</v>
      </c>
      <c r="G69" s="24" t="n">
        <v>300</v>
      </c>
      <c r="H69" s="24" t="n">
        <v>300</v>
      </c>
      <c r="I69" s="24" t="n">
        <v>300</v>
      </c>
    </row>
    <row r="70" customFormat="false" ht="15" hidden="false" customHeight="false" outlineLevel="0" collapsed="false">
      <c r="A70" s="6" t="s">
        <v>141</v>
      </c>
      <c r="C70" s="25" t="n">
        <v>0</v>
      </c>
      <c r="D70" s="25" t="n">
        <v>0</v>
      </c>
      <c r="E70" s="25" t="n">
        <v>0</v>
      </c>
      <c r="F70" s="25" t="n">
        <v>0</v>
      </c>
      <c r="G70" s="25" t="n">
        <v>0</v>
      </c>
      <c r="H70" s="25" t="n">
        <v>0</v>
      </c>
      <c r="I70" s="25" t="n">
        <v>0.4</v>
      </c>
      <c r="J70" s="7" t="s">
        <v>142</v>
      </c>
    </row>
    <row r="71" customFormat="false" ht="15" hidden="false" customHeight="false" outlineLevel="0" collapsed="false">
      <c r="A71" s="6" t="s">
        <v>143</v>
      </c>
      <c r="C71" s="25" t="n">
        <v>0</v>
      </c>
      <c r="D71" s="25" t="n">
        <v>0</v>
      </c>
      <c r="E71" s="25" t="n">
        <v>0</v>
      </c>
      <c r="F71" s="25" t="n">
        <v>0</v>
      </c>
      <c r="G71" s="25" t="n">
        <v>0</v>
      </c>
      <c r="H71" s="25" t="n">
        <v>0</v>
      </c>
      <c r="I71" s="25" t="n">
        <v>0</v>
      </c>
      <c r="J71" s="7" t="s">
        <v>144</v>
      </c>
    </row>
    <row r="72" customFormat="false" ht="15" hidden="false" customHeight="false" outlineLevel="0" collapsed="false">
      <c r="A72" s="6" t="s">
        <v>145</v>
      </c>
      <c r="C72" s="25" t="n">
        <v>0</v>
      </c>
      <c r="D72" s="25" t="n">
        <v>0</v>
      </c>
      <c r="E72" s="25" t="n">
        <v>0</v>
      </c>
      <c r="F72" s="25" t="n">
        <v>0</v>
      </c>
      <c r="G72" s="25" t="n">
        <v>0</v>
      </c>
      <c r="H72" s="25" t="n">
        <v>0</v>
      </c>
      <c r="I72" s="25" t="n">
        <v>0.2</v>
      </c>
      <c r="J72" s="7" t="s">
        <v>146</v>
      </c>
    </row>
    <row r="74" customFormat="false" ht="15" hidden="false" customHeight="false" outlineLevel="0" collapsed="false">
      <c r="A74" s="12" t="s">
        <v>4</v>
      </c>
      <c r="C74" s="7" t="s">
        <v>147</v>
      </c>
    </row>
    <row r="75" customFormat="false" ht="15" hidden="false" customHeight="false" outlineLevel="0" collapsed="false">
      <c r="A75" s="12" t="s">
        <v>5</v>
      </c>
      <c r="C75" s="7" t="s">
        <v>148</v>
      </c>
    </row>
    <row r="76" customFormat="false" ht="15" hidden="false" customHeight="false" outlineLevel="0" collapsed="false">
      <c r="A76" s="12" t="s">
        <v>6</v>
      </c>
      <c r="C76" s="7" t="s">
        <v>149</v>
      </c>
    </row>
    <row r="77" customFormat="false" ht="15" hidden="false" customHeight="false" outlineLevel="0" collapsed="false">
      <c r="A77" s="12" t="s">
        <v>7</v>
      </c>
      <c r="C77" s="7" t="s">
        <v>150</v>
      </c>
    </row>
    <row r="78" customFormat="false" ht="15" hidden="false" customHeight="false" outlineLevel="0" collapsed="false">
      <c r="A78" s="12" t="s">
        <v>8</v>
      </c>
      <c r="C78" s="7" t="s">
        <v>151</v>
      </c>
    </row>
    <row r="79" customFormat="false" ht="15" hidden="false" customHeight="false" outlineLevel="0" collapsed="false">
      <c r="A79" s="12" t="s">
        <v>9</v>
      </c>
      <c r="C79" s="7" t="s">
        <v>152</v>
      </c>
    </row>
    <row r="80" customFormat="false" ht="15" hidden="false" customHeight="false" outlineLevel="0" collapsed="false">
      <c r="A80" s="12" t="s">
        <v>10</v>
      </c>
      <c r="C80" s="7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154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155</v>
      </c>
    </row>
    <row r="4" customFormat="false" ht="15" hidden="false" customHeight="false" outlineLevel="0" collapsed="false">
      <c r="A4" s="4" t="s">
        <v>156</v>
      </c>
      <c r="B4" s="4" t="s">
        <v>55</v>
      </c>
      <c r="C4" s="5" t="s">
        <v>56</v>
      </c>
      <c r="D4" s="5" t="s">
        <v>57</v>
      </c>
      <c r="E4" s="5" t="s">
        <v>58</v>
      </c>
      <c r="F4" s="5" t="s">
        <v>59</v>
      </c>
      <c r="G4" s="5" t="s">
        <v>60</v>
      </c>
    </row>
    <row r="5" customFormat="false" ht="15" hidden="false" customHeight="false" outlineLevel="0" collapsed="false">
      <c r="A5" s="15" t="s">
        <v>41</v>
      </c>
      <c r="B5" s="16"/>
      <c r="C5" s="16"/>
      <c r="D5" s="16"/>
      <c r="E5" s="16"/>
      <c r="F5" s="16"/>
      <c r="G5" s="16"/>
    </row>
    <row r="6" customFormat="false" ht="15" hidden="false" customHeight="false" outlineLevel="0" collapsed="false">
      <c r="A6" s="6" t="s">
        <v>157</v>
      </c>
      <c r="C6" s="26" t="n">
        <f aca="false">MAX(0,2027-Hypothèses!$B$7+1)</f>
        <v>1</v>
      </c>
      <c r="D6" s="26" t="n">
        <f aca="false">MAX(0,2028-Hypothèses!$B$7+1)</f>
        <v>2</v>
      </c>
      <c r="E6" s="26" t="n">
        <f aca="false">MAX(0,2029-Hypothèses!$B$7+1)</f>
        <v>3</v>
      </c>
      <c r="F6" s="26" t="n">
        <f aca="false">MAX(0,2030-Hypothèses!$B$7+1)</f>
        <v>4</v>
      </c>
      <c r="G6" s="26" t="n">
        <f aca="false">MAX(0,2031-Hypothèses!$B$7+1)</f>
        <v>5</v>
      </c>
    </row>
    <row r="7" customFormat="false" ht="15" hidden="false" customHeight="false" outlineLevel="0" collapsed="false">
      <c r="A7" s="6" t="s">
        <v>158</v>
      </c>
      <c r="B7" s="6" t="s">
        <v>68</v>
      </c>
      <c r="C7" s="27" t="n">
        <f aca="false">IF(C6=0,0,Hypothèses!$C$7*1000000*INDEX(Hypothèses!$C$16:$G$16,1,MIN(5,C6))*Hypothèses!$D$7)</f>
        <v>7740</v>
      </c>
      <c r="D7" s="27" t="n">
        <f aca="false">IF(D6=0,0,Hypothèses!$C$7*1000000*INDEX(Hypothèses!$C$16:$G$16,1,MIN(5,D6))*Hypothèses!$D$7)</f>
        <v>29670</v>
      </c>
      <c r="E7" s="27" t="n">
        <f aca="false">IF(E6=0,0,Hypothèses!$C$7*1000000*INDEX(Hypothèses!$C$16:$G$16,1,MIN(5,E6))*Hypothèses!$D$7)</f>
        <v>70950</v>
      </c>
      <c r="F7" s="27" t="n">
        <f aca="false">IF(F6=0,0,Hypothèses!$C$7*1000000*INDEX(Hypothèses!$C$16:$G$16,1,MIN(5,F6))*Hypothèses!$D$7)</f>
        <v>116100</v>
      </c>
      <c r="G7" s="27" t="n">
        <f aca="false">IF(G6=0,0,Hypothèses!$C$7*1000000*INDEX(Hypothèses!$C$16:$G$16,1,MIN(5,G6))*Hypothèses!$D$7)</f>
        <v>167700</v>
      </c>
    </row>
    <row r="8" customFormat="false" ht="15" hidden="false" customHeight="false" outlineLevel="0" collapsed="false">
      <c r="A8" s="6" t="s">
        <v>159</v>
      </c>
      <c r="B8" s="6" t="s">
        <v>160</v>
      </c>
      <c r="C8" s="28" t="n">
        <f aca="false">C7*Hypothèses!$E$7*12</f>
        <v>1161000000</v>
      </c>
      <c r="D8" s="28" t="n">
        <f aca="false">D7*Hypothèses!$E$7*12</f>
        <v>4450500000</v>
      </c>
      <c r="E8" s="28" t="n">
        <f aca="false">E7*Hypothèses!$E$7*12</f>
        <v>10642500000</v>
      </c>
      <c r="F8" s="28" t="n">
        <f aca="false">F7*Hypothèses!$E$7*12</f>
        <v>17415000000</v>
      </c>
      <c r="G8" s="28" t="n">
        <f aca="false">G7*Hypothèses!$E$7*12</f>
        <v>25155000000</v>
      </c>
    </row>
    <row r="9" customFormat="false" ht="15" hidden="false" customHeight="false" outlineLevel="0" collapsed="false">
      <c r="A9" s="6" t="s">
        <v>161</v>
      </c>
      <c r="C9" s="29" t="n">
        <f aca="false">IF(C6&gt;0,1,0)</f>
        <v>1</v>
      </c>
      <c r="D9" s="29" t="n">
        <f aca="false">IF(D6&gt;0,1,0)</f>
        <v>1</v>
      </c>
      <c r="E9" s="29" t="n">
        <f aca="false">IF(E6&gt;0,1,0)</f>
        <v>1</v>
      </c>
      <c r="F9" s="29" t="n">
        <f aca="false">IF(F6&gt;0,1,0)</f>
        <v>1</v>
      </c>
      <c r="G9" s="29" t="n">
        <f aca="false">IF(G6&gt;0,1,0)</f>
        <v>1</v>
      </c>
    </row>
    <row r="10" customFormat="false" ht="15" hidden="false" customHeight="false" outlineLevel="0" collapsed="false">
      <c r="A10" s="15" t="s">
        <v>43</v>
      </c>
      <c r="B10" s="16"/>
      <c r="C10" s="16"/>
      <c r="D10" s="16"/>
      <c r="E10" s="16"/>
      <c r="F10" s="16"/>
      <c r="G10" s="16"/>
    </row>
    <row r="11" customFormat="false" ht="15" hidden="false" customHeight="false" outlineLevel="0" collapsed="false">
      <c r="A11" s="6" t="s">
        <v>157</v>
      </c>
      <c r="C11" s="26" t="n">
        <f aca="false">MAX(0,2027-Hypothèses!$B$8+1)</f>
        <v>0</v>
      </c>
      <c r="D11" s="26" t="n">
        <f aca="false">MAX(0,2028-Hypothèses!$B$8+1)</f>
        <v>0</v>
      </c>
      <c r="E11" s="26" t="n">
        <f aca="false">MAX(0,2029-Hypothèses!$B$8+1)</f>
        <v>1</v>
      </c>
      <c r="F11" s="26" t="n">
        <f aca="false">MAX(0,2030-Hypothèses!$B$8+1)</f>
        <v>2</v>
      </c>
      <c r="G11" s="26" t="n">
        <f aca="false">MAX(0,2031-Hypothèses!$B$8+1)</f>
        <v>3</v>
      </c>
    </row>
    <row r="12" customFormat="false" ht="15" hidden="false" customHeight="false" outlineLevel="0" collapsed="false">
      <c r="A12" s="6" t="s">
        <v>158</v>
      </c>
      <c r="B12" s="6" t="s">
        <v>68</v>
      </c>
      <c r="C12" s="27" t="n">
        <f aca="false">IF(C11=0,0,Hypothèses!$C$8*1000000*INDEX(Hypothèses!$C$16:$G$16,1,MIN(5,C11))*Hypothèses!$D$8)</f>
        <v>0</v>
      </c>
      <c r="D12" s="27" t="n">
        <f aca="false">IF(D11=0,0,Hypothèses!$C$8*1000000*INDEX(Hypothèses!$C$16:$G$16,1,MIN(5,D11))*Hypothèses!$D$8)</f>
        <v>0</v>
      </c>
      <c r="E12" s="27" t="n">
        <f aca="false">IF(E11=0,0,Hypothèses!$C$8*1000000*INDEX(Hypothèses!$C$16:$G$16,1,MIN(5,E11))*Hypothèses!$D$8)</f>
        <v>7560</v>
      </c>
      <c r="F12" s="27" t="n">
        <f aca="false">IF(F11=0,0,Hypothèses!$C$8*1000000*INDEX(Hypothèses!$C$16:$G$16,1,MIN(5,F11))*Hypothèses!$D$8)</f>
        <v>28980</v>
      </c>
      <c r="G12" s="27" t="n">
        <f aca="false">IF(G11=0,0,Hypothèses!$C$8*1000000*INDEX(Hypothèses!$C$16:$G$16,1,MIN(5,G11))*Hypothèses!$D$8)</f>
        <v>69300</v>
      </c>
    </row>
    <row r="13" customFormat="false" ht="15" hidden="false" customHeight="false" outlineLevel="0" collapsed="false">
      <c r="A13" s="6" t="s">
        <v>159</v>
      </c>
      <c r="B13" s="6" t="s">
        <v>160</v>
      </c>
      <c r="C13" s="28" t="n">
        <f aca="false">C12*Hypothèses!$E$8*12</f>
        <v>0</v>
      </c>
      <c r="D13" s="28" t="n">
        <f aca="false">D12*Hypothèses!$E$8*12</f>
        <v>0</v>
      </c>
      <c r="E13" s="28" t="n">
        <f aca="false">E12*Hypothèses!$E$8*12</f>
        <v>1814400000</v>
      </c>
      <c r="F13" s="28" t="n">
        <f aca="false">F12*Hypothèses!$E$8*12</f>
        <v>6955200000</v>
      </c>
      <c r="G13" s="28" t="n">
        <f aca="false">G12*Hypothèses!$E$8*12</f>
        <v>16632000000</v>
      </c>
    </row>
    <row r="14" customFormat="false" ht="15" hidden="false" customHeight="false" outlineLevel="0" collapsed="false">
      <c r="A14" s="6" t="s">
        <v>161</v>
      </c>
      <c r="C14" s="29" t="n">
        <f aca="false">IF(C11&gt;0,1,0)</f>
        <v>0</v>
      </c>
      <c r="D14" s="29" t="n">
        <f aca="false">IF(D11&gt;0,1,0)</f>
        <v>0</v>
      </c>
      <c r="E14" s="29" t="n">
        <f aca="false">IF(E11&gt;0,1,0)</f>
        <v>1</v>
      </c>
      <c r="F14" s="29" t="n">
        <f aca="false">IF(F11&gt;0,1,0)</f>
        <v>1</v>
      </c>
      <c r="G14" s="29" t="n">
        <f aca="false">IF(G11&gt;0,1,0)</f>
        <v>1</v>
      </c>
    </row>
    <row r="15" customFormat="false" ht="15" hidden="false" customHeight="false" outlineLevel="0" collapsed="false">
      <c r="A15" s="15" t="s">
        <v>45</v>
      </c>
      <c r="B15" s="16"/>
      <c r="C15" s="16"/>
      <c r="D15" s="16"/>
      <c r="E15" s="16"/>
      <c r="F15" s="16"/>
      <c r="G15" s="16"/>
    </row>
    <row r="16" customFormat="false" ht="15" hidden="false" customHeight="false" outlineLevel="0" collapsed="false">
      <c r="A16" s="6" t="s">
        <v>157</v>
      </c>
      <c r="C16" s="26" t="n">
        <f aca="false">MAX(0,2027-Hypothèses!$B$9+1)</f>
        <v>0</v>
      </c>
      <c r="D16" s="26" t="n">
        <f aca="false">MAX(0,2028-Hypothèses!$B$9+1)</f>
        <v>0</v>
      </c>
      <c r="E16" s="26" t="n">
        <f aca="false">MAX(0,2029-Hypothèses!$B$9+1)</f>
        <v>0</v>
      </c>
      <c r="F16" s="26" t="n">
        <f aca="false">MAX(0,2030-Hypothèses!$B$9+1)</f>
        <v>1</v>
      </c>
      <c r="G16" s="26" t="n">
        <f aca="false">MAX(0,2031-Hypothèses!$B$9+1)</f>
        <v>2</v>
      </c>
    </row>
    <row r="17" customFormat="false" ht="15" hidden="false" customHeight="false" outlineLevel="0" collapsed="false">
      <c r="A17" s="6" t="s">
        <v>158</v>
      </c>
      <c r="B17" s="6" t="s">
        <v>68</v>
      </c>
      <c r="C17" s="27" t="n">
        <f aca="false">IF(C16=0,0,Hypothèses!$C$9*1000000*INDEX(Hypothèses!$C$16:$G$16,1,MIN(5,C16))*Hypothèses!$D$9)</f>
        <v>0</v>
      </c>
      <c r="D17" s="27" t="n">
        <f aca="false">IF(D16=0,0,Hypothèses!$C$9*1000000*INDEX(Hypothèses!$C$16:$G$16,1,MIN(5,D16))*Hypothèses!$D$9)</f>
        <v>0</v>
      </c>
      <c r="E17" s="27" t="n">
        <f aca="false">IF(E16=0,0,Hypothèses!$C$9*1000000*INDEX(Hypothèses!$C$16:$G$16,1,MIN(5,E16))*Hypothèses!$D$9)</f>
        <v>0</v>
      </c>
      <c r="F17" s="27" t="n">
        <f aca="false">IF(F16=0,0,Hypothèses!$C$9*1000000*INDEX(Hypothèses!$C$16:$G$16,1,MIN(5,F16))*Hypothèses!$D$9)</f>
        <v>5040</v>
      </c>
      <c r="G17" s="27" t="n">
        <f aca="false">IF(G16=0,0,Hypothèses!$C$9*1000000*INDEX(Hypothèses!$C$16:$G$16,1,MIN(5,G16))*Hypothèses!$D$9)</f>
        <v>19320</v>
      </c>
    </row>
    <row r="18" customFormat="false" ht="15" hidden="false" customHeight="false" outlineLevel="0" collapsed="false">
      <c r="A18" s="6" t="s">
        <v>159</v>
      </c>
      <c r="B18" s="6" t="s">
        <v>160</v>
      </c>
      <c r="C18" s="28" t="n">
        <f aca="false">C17*Hypothèses!$E$9*12</f>
        <v>0</v>
      </c>
      <c r="D18" s="28" t="n">
        <f aca="false">D17*Hypothèses!$E$9*12</f>
        <v>0</v>
      </c>
      <c r="E18" s="28" t="n">
        <f aca="false">E17*Hypothèses!$E$9*12</f>
        <v>0</v>
      </c>
      <c r="F18" s="28" t="n">
        <f aca="false">F17*Hypothèses!$E$9*12</f>
        <v>756000000</v>
      </c>
      <c r="G18" s="28" t="n">
        <f aca="false">G17*Hypothèses!$E$9*12</f>
        <v>2898000000</v>
      </c>
    </row>
    <row r="19" customFormat="false" ht="15" hidden="false" customHeight="false" outlineLevel="0" collapsed="false">
      <c r="A19" s="6" t="s">
        <v>161</v>
      </c>
      <c r="C19" s="29" t="n">
        <f aca="false">IF(C16&gt;0,1,0)</f>
        <v>0</v>
      </c>
      <c r="D19" s="29" t="n">
        <f aca="false">IF(D16&gt;0,1,0)</f>
        <v>0</v>
      </c>
      <c r="E19" s="29" t="n">
        <f aca="false">IF(E16&gt;0,1,0)</f>
        <v>0</v>
      </c>
      <c r="F19" s="29" t="n">
        <f aca="false">IF(F16&gt;0,1,0)</f>
        <v>1</v>
      </c>
      <c r="G19" s="29" t="n">
        <f aca="false">IF(G16&gt;0,1,0)</f>
        <v>1</v>
      </c>
    </row>
    <row r="20" customFormat="false" ht="15" hidden="false" customHeight="false" outlineLevel="0" collapsed="false">
      <c r="A20" s="15" t="s">
        <v>47</v>
      </c>
      <c r="B20" s="16"/>
      <c r="C20" s="16"/>
      <c r="D20" s="16"/>
      <c r="E20" s="16"/>
      <c r="F20" s="16"/>
      <c r="G20" s="16"/>
    </row>
    <row r="21" customFormat="false" ht="15" hidden="false" customHeight="false" outlineLevel="0" collapsed="false">
      <c r="A21" s="6" t="s">
        <v>157</v>
      </c>
      <c r="C21" s="26" t="n">
        <f aca="false">MAX(0,2027-Hypothèses!$B$10+1)</f>
        <v>0</v>
      </c>
      <c r="D21" s="26" t="n">
        <f aca="false">MAX(0,2028-Hypothèses!$B$10+1)</f>
        <v>0</v>
      </c>
      <c r="E21" s="26" t="n">
        <f aca="false">MAX(0,2029-Hypothèses!$B$10+1)</f>
        <v>0</v>
      </c>
      <c r="F21" s="26" t="n">
        <f aca="false">MAX(0,2030-Hypothèses!$B$10+1)</f>
        <v>0</v>
      </c>
      <c r="G21" s="26" t="n">
        <f aca="false">MAX(0,2031-Hypothèses!$B$10+1)</f>
        <v>1</v>
      </c>
    </row>
    <row r="22" customFormat="false" ht="15" hidden="false" customHeight="false" outlineLevel="0" collapsed="false">
      <c r="A22" s="6" t="s">
        <v>158</v>
      </c>
      <c r="B22" s="6" t="s">
        <v>68</v>
      </c>
      <c r="C22" s="27" t="n">
        <f aca="false">IF(C21=0,0,Hypothèses!$C$10*1000000*INDEX(Hypothèses!$C$16:$G$16,1,MIN(5,C21))*Hypothèses!$D$10)</f>
        <v>0</v>
      </c>
      <c r="D22" s="27" t="n">
        <f aca="false">IF(D21=0,0,Hypothèses!$C$10*1000000*INDEX(Hypothèses!$C$16:$G$16,1,MIN(5,D21))*Hypothèses!$D$10)</f>
        <v>0</v>
      </c>
      <c r="E22" s="27" t="n">
        <f aca="false">IF(E21=0,0,Hypothèses!$C$10*1000000*INDEX(Hypothèses!$C$16:$G$16,1,MIN(5,E21))*Hypothèses!$D$10)</f>
        <v>0</v>
      </c>
      <c r="F22" s="27" t="n">
        <f aca="false">IF(F21=0,0,Hypothèses!$C$10*1000000*INDEX(Hypothèses!$C$16:$G$16,1,MIN(5,F21))*Hypothèses!$D$10)</f>
        <v>0</v>
      </c>
      <c r="G22" s="27" t="n">
        <f aca="false">IF(G21=0,0,Hypothèses!$C$10*1000000*INDEX(Hypothèses!$C$16:$G$16,1,MIN(5,G21))*Hypothèses!$D$10)</f>
        <v>4500</v>
      </c>
    </row>
    <row r="23" customFormat="false" ht="15" hidden="false" customHeight="false" outlineLevel="0" collapsed="false">
      <c r="A23" s="6" t="s">
        <v>159</v>
      </c>
      <c r="B23" s="6" t="s">
        <v>160</v>
      </c>
      <c r="C23" s="28" t="n">
        <f aca="false">C22*Hypothèses!$E$10*12</f>
        <v>0</v>
      </c>
      <c r="D23" s="28" t="n">
        <f aca="false">D22*Hypothèses!$E$10*12</f>
        <v>0</v>
      </c>
      <c r="E23" s="28" t="n">
        <f aca="false">E22*Hypothèses!$E$10*12</f>
        <v>0</v>
      </c>
      <c r="F23" s="28" t="n">
        <f aca="false">F22*Hypothèses!$E$10*12</f>
        <v>0</v>
      </c>
      <c r="G23" s="28" t="n">
        <f aca="false">G22*Hypothèses!$E$10*12</f>
        <v>540000000</v>
      </c>
    </row>
    <row r="24" customFormat="false" ht="15" hidden="false" customHeight="false" outlineLevel="0" collapsed="false">
      <c r="A24" s="6" t="s">
        <v>161</v>
      </c>
      <c r="C24" s="29" t="n">
        <f aca="false">IF(C21&gt;0,1,0)</f>
        <v>0</v>
      </c>
      <c r="D24" s="29" t="n">
        <f aca="false">IF(D21&gt;0,1,0)</f>
        <v>0</v>
      </c>
      <c r="E24" s="29" t="n">
        <f aca="false">IF(E21&gt;0,1,0)</f>
        <v>0</v>
      </c>
      <c r="F24" s="29" t="n">
        <f aca="false">IF(F21&gt;0,1,0)</f>
        <v>0</v>
      </c>
      <c r="G24" s="29" t="n">
        <f aca="false">IF(G21&gt;0,1,0)</f>
        <v>1</v>
      </c>
    </row>
    <row r="25" customFormat="false" ht="15" hidden="false" customHeight="false" outlineLevel="0" collapsed="false">
      <c r="A25" s="15" t="s">
        <v>49</v>
      </c>
      <c r="B25" s="16"/>
      <c r="C25" s="16"/>
      <c r="D25" s="16"/>
      <c r="E25" s="16"/>
      <c r="F25" s="16"/>
      <c r="G25" s="16"/>
    </row>
    <row r="26" customFormat="false" ht="15" hidden="false" customHeight="false" outlineLevel="0" collapsed="false">
      <c r="A26" s="6" t="s">
        <v>157</v>
      </c>
      <c r="C26" s="26" t="n">
        <f aca="false">MAX(0,2027-Hypothèses!$B$11+1)</f>
        <v>0</v>
      </c>
      <c r="D26" s="26" t="n">
        <f aca="false">MAX(0,2028-Hypothèses!$B$11+1)</f>
        <v>0</v>
      </c>
      <c r="E26" s="26" t="n">
        <f aca="false">MAX(0,2029-Hypothèses!$B$11+1)</f>
        <v>0</v>
      </c>
      <c r="F26" s="26" t="n">
        <f aca="false">MAX(0,2030-Hypothèses!$B$11+1)</f>
        <v>0</v>
      </c>
      <c r="G26" s="26" t="n">
        <f aca="false">MAX(0,2031-Hypothèses!$B$11+1)</f>
        <v>1</v>
      </c>
    </row>
    <row r="27" customFormat="false" ht="15" hidden="false" customHeight="false" outlineLevel="0" collapsed="false">
      <c r="A27" s="6" t="s">
        <v>158</v>
      </c>
      <c r="B27" s="6" t="s">
        <v>68</v>
      </c>
      <c r="C27" s="27" t="n">
        <f aca="false">IF(C26=0,0,Hypothèses!$C$11*1000000*INDEX(Hypothèses!$C$16:$G$16,1,MIN(5,C26))*Hypothèses!$D$11)</f>
        <v>0</v>
      </c>
      <c r="D27" s="27" t="n">
        <f aca="false">IF(D26=0,0,Hypothèses!$C$11*1000000*INDEX(Hypothèses!$C$16:$G$16,1,MIN(5,D26))*Hypothèses!$D$11)</f>
        <v>0</v>
      </c>
      <c r="E27" s="27" t="n">
        <f aca="false">IF(E26=0,0,Hypothèses!$C$11*1000000*INDEX(Hypothèses!$C$16:$G$16,1,MIN(5,E26))*Hypothèses!$D$11)</f>
        <v>0</v>
      </c>
      <c r="F27" s="27" t="n">
        <f aca="false">IF(F26=0,0,Hypothèses!$C$11*1000000*INDEX(Hypothèses!$C$16:$G$16,1,MIN(5,F26))*Hypothèses!$D$11)</f>
        <v>0</v>
      </c>
      <c r="G27" s="27" t="n">
        <f aca="false">IF(G26=0,0,Hypothèses!$C$11*1000000*INDEX(Hypothèses!$C$16:$G$16,1,MIN(5,G26))*Hypothèses!$D$11)</f>
        <v>3150</v>
      </c>
    </row>
    <row r="28" customFormat="false" ht="15" hidden="false" customHeight="false" outlineLevel="0" collapsed="false">
      <c r="A28" s="6" t="s">
        <v>159</v>
      </c>
      <c r="B28" s="6" t="s">
        <v>160</v>
      </c>
      <c r="C28" s="28" t="n">
        <f aca="false">C27*Hypothèses!$E$11*12</f>
        <v>0</v>
      </c>
      <c r="D28" s="28" t="n">
        <f aca="false">D27*Hypothèses!$E$11*12</f>
        <v>0</v>
      </c>
      <c r="E28" s="28" t="n">
        <f aca="false">E27*Hypothèses!$E$11*12</f>
        <v>0</v>
      </c>
      <c r="F28" s="28" t="n">
        <f aca="false">F27*Hypothèses!$E$11*12</f>
        <v>0</v>
      </c>
      <c r="G28" s="28" t="n">
        <f aca="false">G27*Hypothèses!$E$11*12</f>
        <v>756000000</v>
      </c>
    </row>
    <row r="29" customFormat="false" ht="15" hidden="false" customHeight="false" outlineLevel="0" collapsed="false">
      <c r="A29" s="6" t="s">
        <v>161</v>
      </c>
      <c r="C29" s="29" t="n">
        <f aca="false">IF(C26&gt;0,1,0)</f>
        <v>0</v>
      </c>
      <c r="D29" s="29" t="n">
        <f aca="false">IF(D26&gt;0,1,0)</f>
        <v>0</v>
      </c>
      <c r="E29" s="29" t="n">
        <f aca="false">IF(E26&gt;0,1,0)</f>
        <v>0</v>
      </c>
      <c r="F29" s="29" t="n">
        <f aca="false">IF(F26&gt;0,1,0)</f>
        <v>0</v>
      </c>
      <c r="G29" s="29" t="n">
        <f aca="false">IF(G26&gt;0,1,0)</f>
        <v>1</v>
      </c>
    </row>
    <row r="30" customFormat="false" ht="15" hidden="false" customHeight="false" outlineLevel="0" collapsed="false">
      <c r="A30" s="15" t="s">
        <v>51</v>
      </c>
      <c r="B30" s="16"/>
      <c r="C30" s="16"/>
      <c r="D30" s="16"/>
      <c r="E30" s="16"/>
      <c r="F30" s="16"/>
      <c r="G30" s="16"/>
    </row>
    <row r="31" customFormat="false" ht="15" hidden="false" customHeight="false" outlineLevel="0" collapsed="false">
      <c r="A31" s="6" t="s">
        <v>157</v>
      </c>
      <c r="C31" s="26" t="n">
        <f aca="false">MAX(0,2027-Hypothèses!$B$12+1)</f>
        <v>0</v>
      </c>
      <c r="D31" s="26" t="n">
        <f aca="false">MAX(0,2028-Hypothèses!$B$12+1)</f>
        <v>0</v>
      </c>
      <c r="E31" s="26" t="n">
        <f aca="false">MAX(0,2029-Hypothèses!$B$12+1)</f>
        <v>0</v>
      </c>
      <c r="F31" s="26" t="n">
        <f aca="false">MAX(0,2030-Hypothèses!$B$12+1)</f>
        <v>0</v>
      </c>
      <c r="G31" s="26" t="n">
        <f aca="false">MAX(0,2031-Hypothèses!$B$12+1)</f>
        <v>0</v>
      </c>
    </row>
    <row r="32" customFormat="false" ht="15" hidden="false" customHeight="false" outlineLevel="0" collapsed="false">
      <c r="A32" s="6" t="s">
        <v>158</v>
      </c>
      <c r="B32" s="6" t="s">
        <v>68</v>
      </c>
      <c r="C32" s="27" t="n">
        <f aca="false">IF(C31=0,0,Hypothèses!$C$12*1000000*INDEX(Hypothèses!$C$16:$G$16,1,MIN(5,C31))*Hypothèses!$D$12)</f>
        <v>0</v>
      </c>
      <c r="D32" s="27" t="n">
        <f aca="false">IF(D31=0,0,Hypothèses!$C$12*1000000*INDEX(Hypothèses!$C$16:$G$16,1,MIN(5,D31))*Hypothèses!$D$12)</f>
        <v>0</v>
      </c>
      <c r="E32" s="27" t="n">
        <f aca="false">IF(E31=0,0,Hypothèses!$C$12*1000000*INDEX(Hypothèses!$C$16:$G$16,1,MIN(5,E31))*Hypothèses!$D$12)</f>
        <v>0</v>
      </c>
      <c r="F32" s="27" t="n">
        <f aca="false">IF(F31=0,0,Hypothèses!$C$12*1000000*INDEX(Hypothèses!$C$16:$G$16,1,MIN(5,F31))*Hypothèses!$D$12)</f>
        <v>0</v>
      </c>
      <c r="G32" s="27" t="n">
        <f aca="false">IF(G31=0,0,Hypothèses!$C$12*1000000*INDEX(Hypothèses!$C$16:$G$16,1,MIN(5,G31))*Hypothèses!$D$12)</f>
        <v>0</v>
      </c>
    </row>
    <row r="33" customFormat="false" ht="15" hidden="false" customHeight="false" outlineLevel="0" collapsed="false">
      <c r="A33" s="6" t="s">
        <v>159</v>
      </c>
      <c r="B33" s="6" t="s">
        <v>160</v>
      </c>
      <c r="C33" s="28" t="n">
        <f aca="false">C32*Hypothèses!$E$12*12</f>
        <v>0</v>
      </c>
      <c r="D33" s="28" t="n">
        <f aca="false">D32*Hypothèses!$E$12*12</f>
        <v>0</v>
      </c>
      <c r="E33" s="28" t="n">
        <f aca="false">E32*Hypothèses!$E$12*12</f>
        <v>0</v>
      </c>
      <c r="F33" s="28" t="n">
        <f aca="false">F32*Hypothèses!$E$12*12</f>
        <v>0</v>
      </c>
      <c r="G33" s="28" t="n">
        <f aca="false">G32*Hypothèses!$E$12*12</f>
        <v>0</v>
      </c>
    </row>
    <row r="34" customFormat="false" ht="15" hidden="false" customHeight="false" outlineLevel="0" collapsed="false">
      <c r="A34" s="6" t="s">
        <v>161</v>
      </c>
      <c r="C34" s="29" t="n">
        <f aca="false">IF(C31&gt;0,1,0)</f>
        <v>0</v>
      </c>
      <c r="D34" s="29" t="n">
        <f aca="false">IF(D31&gt;0,1,0)</f>
        <v>0</v>
      </c>
      <c r="E34" s="29" t="n">
        <f aca="false">IF(E31&gt;0,1,0)</f>
        <v>0</v>
      </c>
      <c r="F34" s="29" t="n">
        <f aca="false">IF(F31&gt;0,1,0)</f>
        <v>0</v>
      </c>
      <c r="G34" s="29" t="n">
        <f aca="false">IF(G31&gt;0,1,0)</f>
        <v>0</v>
      </c>
    </row>
    <row r="35" customFormat="false" ht="15" hidden="false" customHeight="false" outlineLevel="0" collapsed="false">
      <c r="A35" s="15" t="s">
        <v>162</v>
      </c>
      <c r="B35" s="16"/>
      <c r="C35" s="16"/>
      <c r="D35" s="16"/>
      <c r="E35" s="16"/>
      <c r="F35" s="16"/>
      <c r="G35" s="16"/>
    </row>
    <row r="36" customFormat="false" ht="15" hidden="false" customHeight="false" outlineLevel="0" collapsed="false">
      <c r="A36" s="12" t="s">
        <v>163</v>
      </c>
      <c r="B36" s="6" t="s">
        <v>68</v>
      </c>
      <c r="C36" s="30" t="n">
        <f aca="false">C7+C12+C17+C22+C27+C32</f>
        <v>7740</v>
      </c>
      <c r="D36" s="30" t="n">
        <f aca="false">D7+D12+D17+D22+D27+D32</f>
        <v>29670</v>
      </c>
      <c r="E36" s="30" t="n">
        <f aca="false">E7+E12+E17+E22+E27+E32</f>
        <v>78510</v>
      </c>
      <c r="F36" s="30" t="n">
        <f aca="false">F7+F12+F17+F22+F27+F32</f>
        <v>150120</v>
      </c>
      <c r="G36" s="30" t="n">
        <f aca="false">G7+G12+G17+G22+G27+G32</f>
        <v>263970</v>
      </c>
    </row>
    <row r="37" customFormat="false" ht="15" hidden="false" customHeight="false" outlineLevel="0" collapsed="false">
      <c r="A37" s="12" t="s">
        <v>164</v>
      </c>
      <c r="B37" s="6" t="s">
        <v>68</v>
      </c>
      <c r="C37" s="30" t="n">
        <f aca="false">C36</f>
        <v>7740</v>
      </c>
      <c r="D37" s="30" t="n">
        <f aca="false">MAX(0,D36-C36)</f>
        <v>21930</v>
      </c>
      <c r="E37" s="30" t="n">
        <f aca="false">MAX(0,E36-D36)</f>
        <v>48840</v>
      </c>
      <c r="F37" s="30" t="n">
        <f aca="false">MAX(0,F36-E36)</f>
        <v>71610</v>
      </c>
      <c r="G37" s="30" t="n">
        <f aca="false">MAX(0,G36-F36)</f>
        <v>113850</v>
      </c>
    </row>
    <row r="38" customFormat="false" ht="15" hidden="false" customHeight="false" outlineLevel="0" collapsed="false">
      <c r="A38" s="12" t="s">
        <v>165</v>
      </c>
      <c r="B38" s="6" t="s">
        <v>160</v>
      </c>
      <c r="C38" s="31" t="n">
        <f aca="false">C8+C13+C18+C23+C28+C33</f>
        <v>1161000000</v>
      </c>
      <c r="D38" s="31" t="n">
        <f aca="false">D8+D13+D18+D23+D28+D33</f>
        <v>4450500000</v>
      </c>
      <c r="E38" s="31" t="n">
        <f aca="false">E8+E13+E18+E23+E28+E33</f>
        <v>12456900000</v>
      </c>
      <c r="F38" s="31" t="n">
        <f aca="false">F8+F13+F18+F23+F28+F33</f>
        <v>25126200000</v>
      </c>
      <c r="G38" s="31" t="n">
        <f aca="false">G8+G13+G18+G23+G28+G33</f>
        <v>45981000000</v>
      </c>
    </row>
    <row r="39" customFormat="false" ht="15" hidden="false" customHeight="false" outlineLevel="0" collapsed="false">
      <c r="A39" s="12" t="s">
        <v>166</v>
      </c>
      <c r="B39" s="6" t="s">
        <v>167</v>
      </c>
      <c r="C39" s="32" t="n">
        <f aca="false">C9+C14+C19+C24+C29+C34</f>
        <v>1</v>
      </c>
      <c r="D39" s="32" t="n">
        <f aca="false">D9+D14+D19+D24+D29+D34</f>
        <v>1</v>
      </c>
      <c r="E39" s="32" t="n">
        <f aca="false">E9+E14+E19+E24+E29+E34</f>
        <v>2</v>
      </c>
      <c r="F39" s="32" t="n">
        <f aca="false">F9+F14+F19+F24+F29+F34</f>
        <v>3</v>
      </c>
      <c r="G39" s="32" t="n">
        <f aca="false">G9+G14+G19+G24+G29+G34</f>
        <v>5</v>
      </c>
    </row>
    <row r="40" customFormat="false" ht="15" hidden="false" customHeight="false" outlineLevel="0" collapsed="false">
      <c r="A40" s="12" t="s">
        <v>168</v>
      </c>
      <c r="B40" s="6" t="s">
        <v>68</v>
      </c>
      <c r="C40" s="30" t="n">
        <f aca="false">Hypothèses!C$19</f>
        <v>5000</v>
      </c>
      <c r="D40" s="30" t="n">
        <f aca="false">Hypothèses!D$19</f>
        <v>30000</v>
      </c>
      <c r="E40" s="30" t="n">
        <f aca="false">Hypothèses!E$19</f>
        <v>80000</v>
      </c>
      <c r="F40" s="30" t="n">
        <f aca="false">Hypothèses!F$19</f>
        <v>150000</v>
      </c>
      <c r="G40" s="30" t="n">
        <f aca="false">Hypothèses!G$19</f>
        <v>250000</v>
      </c>
    </row>
    <row r="41" customFormat="false" ht="15" hidden="false" customHeight="false" outlineLevel="0" collapsed="false">
      <c r="A41" s="12" t="s">
        <v>169</v>
      </c>
      <c r="B41" s="6" t="s">
        <v>68</v>
      </c>
      <c r="C41" s="30" t="n">
        <f aca="false">C40</f>
        <v>5000</v>
      </c>
      <c r="D41" s="30" t="n">
        <f aca="false">MAX(0,D40-C40)</f>
        <v>25000</v>
      </c>
      <c r="E41" s="30" t="n">
        <f aca="false">MAX(0,E40-D40)</f>
        <v>50000</v>
      </c>
      <c r="F41" s="30" t="n">
        <f aca="false">MAX(0,F40-E40)</f>
        <v>70000</v>
      </c>
      <c r="G41" s="30" t="n">
        <f aca="false">MAX(0,G40-F40)</f>
        <v>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170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171</v>
      </c>
    </row>
    <row r="4" customFormat="false" ht="15" hidden="false" customHeight="false" outlineLevel="0" collapsed="false">
      <c r="A4" s="4" t="s">
        <v>172</v>
      </c>
      <c r="B4" s="4" t="s">
        <v>55</v>
      </c>
      <c r="C4" s="5" t="s">
        <v>56</v>
      </c>
      <c r="D4" s="5" t="s">
        <v>57</v>
      </c>
      <c r="E4" s="5" t="s">
        <v>58</v>
      </c>
      <c r="F4" s="5" t="s">
        <v>59</v>
      </c>
      <c r="G4" s="5" t="s">
        <v>60</v>
      </c>
      <c r="H4" s="5" t="s">
        <v>173</v>
      </c>
    </row>
    <row r="5" customFormat="false" ht="15" hidden="false" customHeight="false" outlineLevel="0" collapsed="false">
      <c r="A5" s="15" t="s">
        <v>174</v>
      </c>
      <c r="B5" s="16"/>
      <c r="C5" s="16"/>
      <c r="D5" s="16"/>
      <c r="E5" s="16"/>
      <c r="F5" s="16"/>
      <c r="G5" s="16"/>
      <c r="H5" s="16"/>
    </row>
    <row r="6" customFormat="false" ht="15" hidden="false" customHeight="false" outlineLevel="0" collapsed="false">
      <c r="A6" s="6" t="s">
        <v>163</v>
      </c>
      <c r="B6" s="6" t="s">
        <v>68</v>
      </c>
      <c r="C6" s="33" t="n">
        <f aca="false">Déploiement!C$36*Hypothèses!$C$58</f>
        <v>7740</v>
      </c>
      <c r="D6" s="33" t="n">
        <f aca="false">Déploiement!D$36*Hypothèses!$C$58</f>
        <v>29670</v>
      </c>
      <c r="E6" s="33" t="n">
        <f aca="false">Déploiement!E$36*Hypothèses!$C$58</f>
        <v>78510</v>
      </c>
      <c r="F6" s="33" t="n">
        <f aca="false">Déploiement!F$36*Hypothèses!$C$58</f>
        <v>150120</v>
      </c>
      <c r="G6" s="33" t="n">
        <f aca="false">Déploiement!G$36*Hypothèses!$C$58</f>
        <v>263970</v>
      </c>
    </row>
    <row r="7" customFormat="false" ht="15" hidden="false" customHeight="false" outlineLevel="0" collapsed="false">
      <c r="A7" s="6" t="s">
        <v>175</v>
      </c>
      <c r="B7" s="6" t="s">
        <v>68</v>
      </c>
      <c r="C7" s="33" t="n">
        <f aca="false">Déploiement!C$40*Hypothèses!$C$67</f>
        <v>0</v>
      </c>
      <c r="D7" s="33" t="n">
        <f aca="false">Déploiement!D$40*Hypothèses!$C$67</f>
        <v>0</v>
      </c>
      <c r="E7" s="33" t="n">
        <f aca="false">Déploiement!E$40*Hypothèses!$C$67</f>
        <v>0</v>
      </c>
      <c r="F7" s="33" t="n">
        <f aca="false">Déploiement!F$40*Hypothèses!$C$67</f>
        <v>0</v>
      </c>
      <c r="G7" s="33" t="n">
        <f aca="false">Déploiement!G$40*Hypothèses!$C$67</f>
        <v>0</v>
      </c>
    </row>
    <row r="8" customFormat="false" ht="15" hidden="false" customHeight="false" outlineLevel="0" collapsed="false">
      <c r="A8" s="6" t="s">
        <v>165</v>
      </c>
      <c r="B8" s="6" t="s">
        <v>160</v>
      </c>
      <c r="C8" s="34" t="n">
        <f aca="false">Déploiement!C$38*Hypothèses!$C$58</f>
        <v>1161000000</v>
      </c>
      <c r="D8" s="34" t="n">
        <f aca="false">Déploiement!D$38*Hypothèses!$C$58</f>
        <v>4450500000</v>
      </c>
      <c r="E8" s="34" t="n">
        <f aca="false">Déploiement!E$38*Hypothèses!$C$58</f>
        <v>12456900000</v>
      </c>
      <c r="F8" s="34" t="n">
        <f aca="false">Déploiement!F$38*Hypothèses!$C$58</f>
        <v>25126200000</v>
      </c>
      <c r="G8" s="34" t="n">
        <f aca="false">Déploiement!G$38*Hypothèses!$C$58</f>
        <v>45981000000</v>
      </c>
    </row>
    <row r="9" customFormat="false" ht="15" hidden="false" customHeight="false" outlineLevel="0" collapsed="false">
      <c r="A9" s="6" t="s">
        <v>176</v>
      </c>
      <c r="B9" s="6" t="s">
        <v>160</v>
      </c>
      <c r="C9" s="34" t="n">
        <f aca="false">C8*(1-MIN(0.9,Hypothèses!C$17+Hypothèses!$C$71))</f>
        <v>986850000</v>
      </c>
      <c r="D9" s="34" t="n">
        <f aca="false">D8*(1-MIN(0.9,Hypothèses!D$17+Hypothèses!$C$71))</f>
        <v>3337875000</v>
      </c>
      <c r="E9" s="34" t="n">
        <f aca="false">E8*(1-MIN(0.9,Hypothèses!E$17+Hypothèses!$C$71))</f>
        <v>8719830000</v>
      </c>
      <c r="F9" s="34" t="n">
        <f aca="false">F8*(1-MIN(0.9,Hypothèses!F$17+Hypothèses!$C$71))</f>
        <v>16332030000</v>
      </c>
      <c r="G9" s="34" t="n">
        <f aca="false">G8*(1-MIN(0.9,Hypothèses!G$17+Hypothèses!$C$71))</f>
        <v>27588600000</v>
      </c>
      <c r="H9" s="7" t="s">
        <v>177</v>
      </c>
    </row>
    <row r="10" customFormat="false" ht="15" hidden="false" customHeight="false" outlineLevel="0" collapsed="false">
      <c r="A10" s="6" t="s">
        <v>178</v>
      </c>
      <c r="B10" s="6" t="s">
        <v>160</v>
      </c>
      <c r="C10" s="34" t="n">
        <f aca="false">C6*Hypothèses!C$18*Hypothèses!$C$35*Hypothèses!$C$65</f>
        <v>0</v>
      </c>
      <c r="D10" s="34" t="n">
        <f aca="false">D6*Hypothèses!D$18*Hypothèses!$C$35*Hypothèses!$C$65</f>
        <v>0</v>
      </c>
      <c r="E10" s="34" t="n">
        <f aca="false">E6*Hypothèses!E$18*Hypothèses!$C$35*Hypothèses!$C$65</f>
        <v>0</v>
      </c>
      <c r="F10" s="34" t="n">
        <f aca="false">F6*Hypothèses!F$18*Hypothèses!$C$35*Hypothèses!$C$65</f>
        <v>0</v>
      </c>
      <c r="G10" s="34" t="n">
        <f aca="false">G6*Hypothèses!G$18*Hypothèses!$C$35*Hypothèses!$C$65</f>
        <v>0</v>
      </c>
    </row>
    <row r="11" customFormat="false" ht="15" hidden="false" customHeight="false" outlineLevel="0" collapsed="false">
      <c r="A11" s="35" t="s">
        <v>179</v>
      </c>
    </row>
    <row r="12" customFormat="false" ht="15" hidden="false" customHeight="false" outlineLevel="0" collapsed="false">
      <c r="A12" s="6" t="s">
        <v>180</v>
      </c>
      <c r="B12" s="6" t="s">
        <v>160</v>
      </c>
      <c r="C12" s="34" t="n">
        <f aca="false">C8*Hypothèses!$C$59</f>
        <v>11610000</v>
      </c>
      <c r="D12" s="34" t="n">
        <f aca="false">D8*Hypothèses!$C$59</f>
        <v>44505000</v>
      </c>
      <c r="E12" s="34" t="n">
        <f aca="false">E8*Hypothèses!$C$59</f>
        <v>124569000</v>
      </c>
      <c r="F12" s="34" t="n">
        <f aca="false">F8*Hypothèses!$C$59</f>
        <v>251262000</v>
      </c>
      <c r="G12" s="34" t="n">
        <f aca="false">G8*Hypothèses!$C$59</f>
        <v>459810000</v>
      </c>
    </row>
    <row r="13" customFormat="false" ht="15" hidden="false" customHeight="false" outlineLevel="0" collapsed="false">
      <c r="A13" s="6" t="s">
        <v>181</v>
      </c>
      <c r="B13" s="6" t="s">
        <v>160</v>
      </c>
      <c r="C13" s="34" t="n">
        <f aca="false">C9*Hypothèses!$C$60</f>
        <v>0</v>
      </c>
      <c r="D13" s="34" t="n">
        <f aca="false">D9*Hypothèses!$C$60</f>
        <v>0</v>
      </c>
      <c r="E13" s="34" t="n">
        <f aca="false">E9*Hypothèses!$C$60</f>
        <v>0</v>
      </c>
      <c r="F13" s="34" t="n">
        <f aca="false">F9*Hypothèses!$C$60</f>
        <v>0</v>
      </c>
      <c r="G13" s="34" t="n">
        <f aca="false">G9*Hypothèses!$C$60</f>
        <v>0</v>
      </c>
    </row>
    <row r="14" customFormat="false" ht="15" hidden="false" customHeight="false" outlineLevel="0" collapsed="false">
      <c r="A14" s="6" t="s">
        <v>182</v>
      </c>
      <c r="B14" s="6" t="s">
        <v>160</v>
      </c>
      <c r="C14" s="34" t="n">
        <f aca="false">C6/Hypothèses!$C$30*Hypothèses!$C$62*Hypothèses!$C$31*12</f>
        <v>0</v>
      </c>
      <c r="D14" s="34" t="n">
        <f aca="false">D6/Hypothèses!$C$30*Hypothèses!$C$62*Hypothèses!$C$31*12</f>
        <v>0</v>
      </c>
      <c r="E14" s="34" t="n">
        <f aca="false">E6/Hypothèses!$C$30*Hypothèses!$C$62*Hypothèses!$C$31*12</f>
        <v>0</v>
      </c>
      <c r="F14" s="34" t="n">
        <f aca="false">F6/Hypothèses!$C$30*Hypothèses!$C$62*Hypothèses!$C$31*12</f>
        <v>0</v>
      </c>
      <c r="G14" s="34" t="n">
        <f aca="false">G6/Hypothèses!$C$30*Hypothèses!$C$62*Hypothèses!$C$31*12</f>
        <v>0</v>
      </c>
      <c r="H14" s="7" t="s">
        <v>183</v>
      </c>
    </row>
    <row r="15" customFormat="false" ht="15" hidden="false" customHeight="false" outlineLevel="0" collapsed="false">
      <c r="A15" s="6" t="s">
        <v>184</v>
      </c>
      <c r="B15" s="6" t="s">
        <v>160</v>
      </c>
      <c r="C15" s="34" t="n">
        <f aca="false">C6*Hypothèses!$C$63*Hypothèses!$C$32*12</f>
        <v>0</v>
      </c>
      <c r="D15" s="34" t="n">
        <f aca="false">D6*Hypothèses!$C$63*Hypothèses!$C$32*12</f>
        <v>0</v>
      </c>
      <c r="E15" s="34" t="n">
        <f aca="false">E6*Hypothèses!$C$63*Hypothèses!$C$32*12</f>
        <v>0</v>
      </c>
      <c r="F15" s="34" t="n">
        <f aca="false">F6*Hypothèses!$C$63*Hypothèses!$C$32*12</f>
        <v>0</v>
      </c>
      <c r="G15" s="34" t="n">
        <f aca="false">G6*Hypothèses!$C$63*Hypothèses!$C$32*12</f>
        <v>0</v>
      </c>
    </row>
    <row r="16" customFormat="false" ht="15" hidden="false" customHeight="false" outlineLevel="0" collapsed="false">
      <c r="A16" s="6" t="s">
        <v>185</v>
      </c>
      <c r="B16" s="6" t="s">
        <v>160</v>
      </c>
      <c r="C16" s="34" t="n">
        <f aca="false">C6*Hypothèses!$C$33*Hypothèses!$C$34*Hypothèses!$C$64</f>
        <v>1857600</v>
      </c>
      <c r="D16" s="34" t="n">
        <f aca="false">D6*Hypothèses!$C$33*Hypothèses!$C$34*Hypothèses!$C$64</f>
        <v>7120800</v>
      </c>
      <c r="E16" s="34" t="n">
        <f aca="false">E6*Hypothèses!$C$33*Hypothèses!$C$34*Hypothèses!$C$64</f>
        <v>18842400</v>
      </c>
      <c r="F16" s="34" t="n">
        <f aca="false">F6*Hypothèses!$C$33*Hypothèses!$C$34*Hypothèses!$C$64</f>
        <v>36028800</v>
      </c>
      <c r="G16" s="34" t="n">
        <f aca="false">G6*Hypothèses!$C$33*Hypothèses!$C$34*Hypothèses!$C$64</f>
        <v>63352800</v>
      </c>
    </row>
    <row r="17" customFormat="false" ht="15" hidden="false" customHeight="false" outlineLevel="0" collapsed="false">
      <c r="A17" s="6" t="s">
        <v>186</v>
      </c>
      <c r="B17" s="6" t="s">
        <v>160</v>
      </c>
      <c r="C17" s="34" t="n">
        <f aca="false">C10*Hypothèses!$C$36*Hypothèses!$C$37</f>
        <v>0</v>
      </c>
      <c r="D17" s="34" t="n">
        <f aca="false">D10*Hypothèses!$C$36*Hypothèses!$C$37</f>
        <v>0</v>
      </c>
      <c r="E17" s="34" t="n">
        <f aca="false">E10*Hypothèses!$C$36*Hypothèses!$C$37</f>
        <v>0</v>
      </c>
      <c r="F17" s="34" t="n">
        <f aca="false">F10*Hypothèses!$C$36*Hypothèses!$C$37</f>
        <v>0</v>
      </c>
      <c r="G17" s="34" t="n">
        <f aca="false">G10*Hypothèses!$C$36*Hypothèses!$C$37</f>
        <v>0</v>
      </c>
    </row>
    <row r="18" customFormat="false" ht="15" hidden="false" customHeight="false" outlineLevel="0" collapsed="false">
      <c r="A18" s="6" t="s">
        <v>187</v>
      </c>
      <c r="B18" s="6" t="s">
        <v>160</v>
      </c>
      <c r="C18" s="34" t="n">
        <f aca="false">C6*Hypothèses!$C$41*Hypothèses!$C$42*Hypothèses!$C$43*Hypothèses!$C$66</f>
        <v>0</v>
      </c>
      <c r="D18" s="34" t="n">
        <f aca="false">D6*Hypothèses!$C$41*Hypothèses!$C$42*Hypothèses!$C$43*Hypothèses!$C$66</f>
        <v>0</v>
      </c>
      <c r="E18" s="34" t="n">
        <f aca="false">E6*Hypothèses!$C$41*Hypothèses!$C$42*Hypothèses!$C$43*Hypothèses!$C$66</f>
        <v>0</v>
      </c>
      <c r="F18" s="34" t="n">
        <f aca="false">F6*Hypothèses!$C$41*Hypothèses!$C$42*Hypothèses!$C$43*Hypothèses!$C$66</f>
        <v>0</v>
      </c>
      <c r="G18" s="34" t="n">
        <f aca="false">G6*Hypothèses!$C$41*Hypothèses!$C$42*Hypothèses!$C$43*Hypothèses!$C$66</f>
        <v>0</v>
      </c>
    </row>
    <row r="19" customFormat="false" ht="15" hidden="false" customHeight="false" outlineLevel="0" collapsed="false">
      <c r="A19" s="6" t="s">
        <v>188</v>
      </c>
      <c r="B19" s="6" t="s">
        <v>160</v>
      </c>
      <c r="C19" s="34" t="n">
        <f aca="false">C7*Hypothèses!$C$44*12</f>
        <v>0</v>
      </c>
      <c r="D19" s="34" t="n">
        <f aca="false">D7*Hypothèses!$C$44*12</f>
        <v>0</v>
      </c>
      <c r="E19" s="34" t="n">
        <f aca="false">E7*Hypothèses!$C$44*12</f>
        <v>0</v>
      </c>
      <c r="F19" s="34" t="n">
        <f aca="false">F7*Hypothèses!$C$44*12</f>
        <v>0</v>
      </c>
      <c r="G19" s="34" t="n">
        <f aca="false">G7*Hypothèses!$C$44*12</f>
        <v>0</v>
      </c>
    </row>
    <row r="20" customFormat="false" ht="15" hidden="false" customHeight="false" outlineLevel="0" collapsed="false">
      <c r="A20" s="6" t="s">
        <v>189</v>
      </c>
      <c r="B20" s="6" t="s">
        <v>160</v>
      </c>
      <c r="C20" s="34" t="n">
        <f aca="false">C7*Hypothèses!C$18*Hypothèses!$C$35*Hypothèses!$C$40</f>
        <v>0</v>
      </c>
      <c r="D20" s="34" t="n">
        <f aca="false">D7*Hypothèses!D$18*Hypothèses!$C$35*Hypothèses!$C$40</f>
        <v>0</v>
      </c>
      <c r="E20" s="34" t="n">
        <f aca="false">E7*Hypothèses!E$18*Hypothèses!$C$35*Hypothèses!$C$40</f>
        <v>0</v>
      </c>
      <c r="F20" s="34" t="n">
        <f aca="false">F7*Hypothèses!F$18*Hypothèses!$C$35*Hypothèses!$C$40</f>
        <v>0</v>
      </c>
      <c r="G20" s="34" t="n">
        <f aca="false">G7*Hypothèses!G$18*Hypothèses!$C$35*Hypothèses!$C$40</f>
        <v>0</v>
      </c>
    </row>
    <row r="21" customFormat="false" ht="15" hidden="false" customHeight="false" outlineLevel="0" collapsed="false">
      <c r="A21" s="12" t="s">
        <v>190</v>
      </c>
      <c r="B21" s="6" t="s">
        <v>160</v>
      </c>
      <c r="C21" s="36" t="n">
        <f aca="false">SUM(C12:C20)</f>
        <v>13467600</v>
      </c>
      <c r="D21" s="36" t="n">
        <f aca="false">SUM(D12:D20)</f>
        <v>51625800</v>
      </c>
      <c r="E21" s="36" t="n">
        <f aca="false">SUM(E12:E20)</f>
        <v>143411400</v>
      </c>
      <c r="F21" s="36" t="n">
        <f aca="false">SUM(F12:F20)</f>
        <v>287290800</v>
      </c>
      <c r="G21" s="36" t="n">
        <f aca="false">SUM(G12:G20)</f>
        <v>523162800</v>
      </c>
    </row>
    <row r="22" customFormat="false" ht="15" hidden="false" customHeight="false" outlineLevel="0" collapsed="false">
      <c r="A22" s="35" t="s">
        <v>191</v>
      </c>
    </row>
    <row r="23" customFormat="false" ht="15" hidden="false" customHeight="false" outlineLevel="0" collapsed="false">
      <c r="A23" s="6" t="s">
        <v>192</v>
      </c>
      <c r="B23" s="6" t="s">
        <v>160</v>
      </c>
      <c r="C23" s="34" t="n">
        <f aca="false">C9*(Hypothèses!$C$24+Hypothèses!$C$25)*(1-Hypothèses!$C$61)*(1-Hypothèses!$C$70)</f>
        <v>14802750</v>
      </c>
      <c r="D23" s="34" t="n">
        <f aca="false">D9*(Hypothèses!$C$24+Hypothèses!$C$25)*(1-Hypothèses!$C$61)*(1-Hypothèses!$C$70)</f>
        <v>50068125</v>
      </c>
      <c r="E23" s="34" t="n">
        <f aca="false">E9*(Hypothèses!$C$24+Hypothèses!$C$25)*(1-Hypothèses!$C$61)*(1-Hypothèses!$C$70)</f>
        <v>130797450</v>
      </c>
      <c r="F23" s="34" t="n">
        <f aca="false">F9*(Hypothèses!$C$24+Hypothèses!$C$25)*(1-Hypothèses!$C$61)*(1-Hypothèses!$C$70)</f>
        <v>244980450</v>
      </c>
      <c r="G23" s="34" t="n">
        <f aca="false">G9*(Hypothèses!$C$24+Hypothèses!$C$25)*(1-Hypothèses!$C$61)*(1-Hypothèses!$C$70)</f>
        <v>413829000</v>
      </c>
      <c r="H23" s="7" t="s">
        <v>193</v>
      </c>
    </row>
    <row r="24" customFormat="false" ht="15" hidden="false" customHeight="false" outlineLevel="0" collapsed="false">
      <c r="A24" s="6" t="s">
        <v>194</v>
      </c>
      <c r="B24" s="6" t="s">
        <v>160</v>
      </c>
      <c r="C24" s="34" t="n">
        <f aca="false">(C6+0.5*C7)*(Hypothèses!$C$26+Hypothèses!$C$27)</f>
        <v>2089800</v>
      </c>
      <c r="D24" s="34" t="n">
        <f aca="false">(D6+0.5*D7)*(Hypothèses!$C$26+Hypothèses!$C$27)</f>
        <v>8010900</v>
      </c>
      <c r="E24" s="34" t="n">
        <f aca="false">(E6+0.5*E7)*(Hypothèses!$C$26+Hypothèses!$C$27)</f>
        <v>21197700</v>
      </c>
      <c r="F24" s="34" t="n">
        <f aca="false">(F6+0.5*F7)*(Hypothèses!$C$26+Hypothèses!$C$27)</f>
        <v>40532400</v>
      </c>
      <c r="G24" s="34" t="n">
        <f aca="false">(G6+0.5*G7)*(Hypothèses!$C$26+Hypothèses!$C$27)</f>
        <v>71271900</v>
      </c>
      <c r="H24" s="7" t="s">
        <v>195</v>
      </c>
    </row>
    <row r="25" customFormat="false" ht="15" hidden="false" customHeight="false" outlineLevel="0" collapsed="false">
      <c r="A25" s="6" t="s">
        <v>196</v>
      </c>
      <c r="B25" s="6" t="s">
        <v>160</v>
      </c>
      <c r="C25" s="34" t="n">
        <f aca="false">C6*Hypothèses!$C$29*Hypothèses!$C$28</f>
        <v>967500</v>
      </c>
      <c r="D25" s="34" t="n">
        <f aca="false">MAX(0,D6-C6)*Hypothèses!$C$29*Hypothèses!$C$28</f>
        <v>2741250</v>
      </c>
      <c r="E25" s="34" t="n">
        <f aca="false">MAX(0,E6-D6)*Hypothèses!$C$29*Hypothèses!$C$28</f>
        <v>6105000</v>
      </c>
      <c r="F25" s="34" t="n">
        <f aca="false">MAX(0,F6-E6)*Hypothèses!$C$29*Hypothèses!$C$28</f>
        <v>8951250</v>
      </c>
      <c r="G25" s="34" t="n">
        <f aca="false">MAX(0,G6-F6)*Hypothèses!$C$29*Hypothèses!$C$28</f>
        <v>14231250</v>
      </c>
    </row>
    <row r="26" customFormat="false" ht="15" hidden="false" customHeight="false" outlineLevel="0" collapsed="false">
      <c r="A26" s="6" t="s">
        <v>197</v>
      </c>
      <c r="B26" s="6" t="s">
        <v>160</v>
      </c>
      <c r="C26" s="34" t="n">
        <f aca="false">C10*Hypothèses!$C$38*Hypothèses!$C$39</f>
        <v>0</v>
      </c>
      <c r="D26" s="34" t="n">
        <f aca="false">D10*Hypothèses!$C$38*Hypothèses!$C$39</f>
        <v>0</v>
      </c>
      <c r="E26" s="34" t="n">
        <f aca="false">E10*Hypothèses!$C$38*Hypothèses!$C$39</f>
        <v>0</v>
      </c>
      <c r="F26" s="34" t="n">
        <f aca="false">F10*Hypothèses!$C$38*Hypothèses!$C$39</f>
        <v>0</v>
      </c>
      <c r="G26" s="34" t="n">
        <f aca="false">G10*Hypothèses!$C$38*Hypothèses!$C$39</f>
        <v>0</v>
      </c>
    </row>
    <row r="27" customFormat="false" ht="15" hidden="false" customHeight="false" outlineLevel="0" collapsed="false">
      <c r="A27" s="6" t="s">
        <v>198</v>
      </c>
      <c r="B27" s="6" t="s">
        <v>160</v>
      </c>
      <c r="C27" s="34" t="n">
        <f aca="false">C6*Hypothèses!$C$68+C7*Hypothèses!$C$69</f>
        <v>9288000</v>
      </c>
      <c r="D27" s="34" t="n">
        <f aca="false">MAX(0,D6-C6)*Hypothèses!$C$68+MAX(0,D7-C7)*Hypothèses!$C$69</f>
        <v>26316000</v>
      </c>
      <c r="E27" s="34" t="n">
        <f aca="false">MAX(0,E6-D6)*Hypothèses!$C$68+MAX(0,E7-D7)*Hypothèses!$C$69</f>
        <v>58608000</v>
      </c>
      <c r="F27" s="34" t="n">
        <f aca="false">MAX(0,F6-E6)*Hypothèses!$C$68+MAX(0,F7-E7)*Hypothèses!$C$69</f>
        <v>85932000</v>
      </c>
      <c r="G27" s="34" t="n">
        <f aca="false">MAX(0,G6-F6)*Hypothèses!$C$68+MAX(0,G7-F7)*Hypothèses!$C$69</f>
        <v>136620000</v>
      </c>
      <c r="H27" s="7" t="s">
        <v>199</v>
      </c>
    </row>
    <row r="28" customFormat="false" ht="15" hidden="false" customHeight="false" outlineLevel="0" collapsed="false">
      <c r="A28" s="12" t="s">
        <v>200</v>
      </c>
      <c r="B28" s="6" t="s">
        <v>160</v>
      </c>
      <c r="C28" s="36" t="n">
        <f aca="false">SUM(C23:C27)</f>
        <v>27148050</v>
      </c>
      <c r="D28" s="36" t="n">
        <f aca="false">SUM(D23:D27)</f>
        <v>87136275</v>
      </c>
      <c r="E28" s="36" t="n">
        <f aca="false">SUM(E23:E27)</f>
        <v>216708150</v>
      </c>
      <c r="F28" s="36" t="n">
        <f aca="false">SUM(F23:F27)</f>
        <v>380396100</v>
      </c>
      <c r="G28" s="36" t="n">
        <f aca="false">SUM(G23:G27)</f>
        <v>635952150</v>
      </c>
    </row>
    <row r="29" customFormat="false" ht="15" hidden="false" customHeight="false" outlineLevel="0" collapsed="false">
      <c r="A29" s="12" t="s">
        <v>201</v>
      </c>
      <c r="B29" s="6" t="s">
        <v>160</v>
      </c>
      <c r="C29" s="36" t="n">
        <f aca="false">C21-C28</f>
        <v>-13680450</v>
      </c>
      <c r="D29" s="36" t="n">
        <f aca="false">D21-D28</f>
        <v>-35510475</v>
      </c>
      <c r="E29" s="36" t="n">
        <f aca="false">E21-E28</f>
        <v>-73296750</v>
      </c>
      <c r="F29" s="36" t="n">
        <f aca="false">F21-F28</f>
        <v>-93105299.9999999</v>
      </c>
      <c r="G29" s="36" t="n">
        <f aca="false">G21-G28</f>
        <v>-112789350</v>
      </c>
    </row>
    <row r="30" customFormat="false" ht="15" hidden="false" customHeight="false" outlineLevel="0" collapsed="false">
      <c r="A30" s="35" t="s">
        <v>202</v>
      </c>
    </row>
    <row r="31" customFormat="false" ht="15" hidden="false" customHeight="false" outlineLevel="0" collapsed="false">
      <c r="A31" s="6" t="s">
        <v>203</v>
      </c>
      <c r="B31" s="6" t="s">
        <v>160</v>
      </c>
      <c r="C31" s="34" t="n">
        <f aca="false">(Hypothèses!C$20*Hypothèses!$C$46+Hypothèses!$C$49)*(1-Hypothèses!$C$72)</f>
        <v>88000000</v>
      </c>
      <c r="D31" s="34" t="n">
        <f aca="false">(Hypothèses!D$20*Hypothèses!$C$46+Hypothèses!$C$49)*(1-Hypothèses!$C$72)</f>
        <v>112000000</v>
      </c>
      <c r="E31" s="34" t="n">
        <f aca="false">(Hypothèses!E$20*Hypothèses!$C$46+Hypothèses!$C$49)*(1-Hypothèses!$C$72)</f>
        <v>136000000</v>
      </c>
      <c r="F31" s="34" t="n">
        <f aca="false">(Hypothèses!F$20*Hypothèses!$C$46+Hypothèses!$C$49)*(1-Hypothèses!$C$72)</f>
        <v>160000000</v>
      </c>
      <c r="G31" s="34" t="n">
        <f aca="false">(Hypothèses!G$20*Hypothèses!$C$46+Hypothèses!$C$49)*(1-Hypothèses!$C$72)</f>
        <v>184000000</v>
      </c>
    </row>
    <row r="32" customFormat="false" ht="15" hidden="false" customHeight="false" outlineLevel="0" collapsed="false">
      <c r="A32" s="6" t="s">
        <v>204</v>
      </c>
      <c r="B32" s="6" t="s">
        <v>160</v>
      </c>
      <c r="C32" s="34" t="n">
        <f aca="false">Déploiement!C$39*(Hypothèses!$C$47+Hypothèses!$C$48)*Hypothèses!$C$58+Déploiement!C$39*Hypothèses!$C$47*0.5*(1-Hypothèses!$C$58)</f>
        <v>57000000</v>
      </c>
      <c r="D32" s="34" t="n">
        <f aca="false">Déploiement!D$39*(Hypothèses!$C$47+Hypothèses!$C$48)*Hypothèses!$C$58+Déploiement!D$39*Hypothèses!$C$47*0.5*(1-Hypothèses!$C$58)</f>
        <v>57000000</v>
      </c>
      <c r="E32" s="34" t="n">
        <f aca="false">Déploiement!E$39*(Hypothèses!$C$47+Hypothèses!$C$48)*Hypothèses!$C$58+Déploiement!E$39*Hypothèses!$C$47*0.5*(1-Hypothèses!$C$58)</f>
        <v>114000000</v>
      </c>
      <c r="F32" s="34" t="n">
        <f aca="false">Déploiement!F$39*(Hypothèses!$C$47+Hypothèses!$C$48)*Hypothèses!$C$58+Déploiement!F$39*Hypothèses!$C$47*0.5*(1-Hypothèses!$C$58)</f>
        <v>171000000</v>
      </c>
      <c r="G32" s="34" t="n">
        <f aca="false">Déploiement!G$39*(Hypothèses!$C$47+Hypothèses!$C$48)*Hypothèses!$C$58+Déploiement!G$39*Hypothèses!$C$47*0.5*(1-Hypothèses!$C$58)</f>
        <v>285000000</v>
      </c>
      <c r="H32" s="7" t="s">
        <v>205</v>
      </c>
    </row>
    <row r="33" customFormat="false" ht="15" hidden="false" customHeight="false" outlineLevel="0" collapsed="false">
      <c r="A33" s="6" t="s">
        <v>206</v>
      </c>
      <c r="B33" s="6" t="s">
        <v>160</v>
      </c>
      <c r="C33" s="34" t="n">
        <f aca="false">Hypothèses!$C$50*Hypothèses!C$21*Hypothèses!$C$65+Hypothèses!$C$51*IF(Hypothèses!$C$67&gt;0,1,0)</f>
        <v>0</v>
      </c>
      <c r="D33" s="34" t="n">
        <f aca="false">Hypothèses!$C$50*Hypothèses!D$21*Hypothèses!$C$65+Hypothèses!$C$51*IF(Hypothèses!$C$67&gt;0,1,0)</f>
        <v>0</v>
      </c>
      <c r="E33" s="34" t="n">
        <f aca="false">Hypothèses!$C$50*Hypothèses!E$21*Hypothèses!$C$65+Hypothèses!$C$51*IF(Hypothèses!$C$67&gt;0,1,0)</f>
        <v>0</v>
      </c>
      <c r="F33" s="34" t="n">
        <f aca="false">Hypothèses!$C$50*Hypothèses!F$21*Hypothèses!$C$65+Hypothèses!$C$51*IF(Hypothèses!$C$67&gt;0,1,0)</f>
        <v>0</v>
      </c>
      <c r="G33" s="34" t="n">
        <f aca="false">Hypothèses!$C$50*Hypothèses!G$21*Hypothèses!$C$65+Hypothèses!$C$51*IF(Hypothèses!$C$67&gt;0,1,0)</f>
        <v>0</v>
      </c>
    </row>
    <row r="34" customFormat="false" ht="15" hidden="false" customHeight="false" outlineLevel="0" collapsed="false">
      <c r="A34" s="12" t="s">
        <v>207</v>
      </c>
      <c r="B34" s="6" t="s">
        <v>160</v>
      </c>
      <c r="C34" s="36" t="n">
        <f aca="false">SUM(C31:C33)</f>
        <v>145000000</v>
      </c>
      <c r="D34" s="36" t="n">
        <f aca="false">SUM(D31:D33)</f>
        <v>169000000</v>
      </c>
      <c r="E34" s="36" t="n">
        <f aca="false">SUM(E31:E33)</f>
        <v>250000000</v>
      </c>
      <c r="F34" s="36" t="n">
        <f aca="false">SUM(F31:F33)</f>
        <v>331000000</v>
      </c>
      <c r="G34" s="36" t="n">
        <f aca="false">SUM(G31:G33)</f>
        <v>469000000</v>
      </c>
    </row>
    <row r="35" customFormat="false" ht="15" hidden="false" customHeight="false" outlineLevel="0" collapsed="false">
      <c r="A35" s="35" t="s">
        <v>208</v>
      </c>
    </row>
    <row r="36" customFormat="false" ht="15" hidden="false" customHeight="false" outlineLevel="0" collapsed="false">
      <c r="A36" s="12" t="s">
        <v>209</v>
      </c>
      <c r="B36" s="6" t="s">
        <v>160</v>
      </c>
      <c r="C36" s="36" t="n">
        <f aca="false">C29-C34</f>
        <v>-158680450</v>
      </c>
      <c r="D36" s="36" t="n">
        <f aca="false">D29-D34</f>
        <v>-204510475</v>
      </c>
      <c r="E36" s="36" t="n">
        <f aca="false">E29-E34</f>
        <v>-323296750</v>
      </c>
      <c r="F36" s="36" t="n">
        <f aca="false">F29-F34</f>
        <v>-424105300</v>
      </c>
      <c r="G36" s="36" t="n">
        <f aca="false">G29-G34</f>
        <v>-581789350</v>
      </c>
    </row>
    <row r="37" customFormat="false" ht="15" hidden="false" customHeight="false" outlineLevel="0" collapsed="false">
      <c r="A37" s="6" t="s">
        <v>210</v>
      </c>
      <c r="B37" s="6" t="s">
        <v>160</v>
      </c>
      <c r="C37" s="34" t="n">
        <f aca="false">MAX(0,C36-Hypothèses!$C$52/3*IF(0&lt;3,1,0))*Hypothèses!$C$53</f>
        <v>0</v>
      </c>
      <c r="D37" s="34" t="n">
        <f aca="false">MAX(0,D36-Hypothèses!$C$52/3*IF(1&lt;3,1,0))*Hypothèses!$C$53</f>
        <v>0</v>
      </c>
      <c r="E37" s="34" t="n">
        <f aca="false">MAX(0,E36-Hypothèses!$C$52/3*IF(2&lt;3,1,0))*Hypothèses!$C$53</f>
        <v>0</v>
      </c>
      <c r="F37" s="34" t="n">
        <f aca="false">MAX(0,F36-Hypothèses!$C$52/3*IF(3&lt;3,1,0))*Hypothèses!$C$53</f>
        <v>0</v>
      </c>
      <c r="G37" s="34" t="n">
        <f aca="false">MAX(0,G36-Hypothèses!$C$52/3*IF(4&lt;3,1,0))*Hypothèses!$C$53</f>
        <v>0</v>
      </c>
    </row>
    <row r="38" customFormat="false" ht="15" hidden="false" customHeight="false" outlineLevel="0" collapsed="false">
      <c r="A38" s="6" t="s">
        <v>211</v>
      </c>
      <c r="B38" s="6" t="s">
        <v>160</v>
      </c>
      <c r="C38" s="34" t="n">
        <f aca="false">C36-C37-IF(0=0,Hypothèses!$C$52,0)</f>
        <v>-203680450</v>
      </c>
      <c r="D38" s="34" t="n">
        <f aca="false">D36-D37-IF(1=0,Hypothèses!$C$52,0)</f>
        <v>-204510475</v>
      </c>
      <c r="E38" s="34" t="n">
        <f aca="false">E36-E37-IF(2=0,Hypothèses!$C$52,0)</f>
        <v>-323296750</v>
      </c>
      <c r="F38" s="34" t="n">
        <f aca="false">F36-F37-IF(3=0,Hypothèses!$C$52,0)</f>
        <v>-424105300</v>
      </c>
      <c r="G38" s="34" t="n">
        <f aca="false">G36-G37-IF(4=0,Hypothèses!$C$52,0)</f>
        <v>-581789350</v>
      </c>
    </row>
    <row r="39" customFormat="false" ht="15" hidden="false" customHeight="false" outlineLevel="0" collapsed="false">
      <c r="A39" s="12" t="s">
        <v>212</v>
      </c>
      <c r="B39" s="6" t="s">
        <v>160</v>
      </c>
      <c r="C39" s="36" t="n">
        <f aca="false">C38</f>
        <v>-203680450</v>
      </c>
      <c r="D39" s="36" t="n">
        <f aca="false">C39+D38</f>
        <v>-408190925</v>
      </c>
      <c r="E39" s="36" t="n">
        <f aca="false">D39+E38</f>
        <v>-731487675</v>
      </c>
      <c r="F39" s="36" t="n">
        <f aca="false">E39+F38</f>
        <v>-1155592975</v>
      </c>
      <c r="G39" s="36" t="n">
        <f aca="false">F39+G38</f>
        <v>-1737382325</v>
      </c>
    </row>
    <row r="40" customFormat="false" ht="15" hidden="false" customHeight="false" outlineLevel="0" collapsed="false">
      <c r="A40" s="6" t="s">
        <v>213</v>
      </c>
      <c r="B40" s="6" t="s">
        <v>214</v>
      </c>
      <c r="C40" s="37" t="n">
        <f aca="false">IF(C36&gt;0,1,0)</f>
        <v>0</v>
      </c>
      <c r="D40" s="37" t="n">
        <f aca="false">IF(D36&gt;0,1,0)</f>
        <v>0</v>
      </c>
      <c r="E40" s="37" t="n">
        <f aca="false">IF(E36&gt;0,1,0)</f>
        <v>0</v>
      </c>
      <c r="F40" s="37" t="n">
        <f aca="false">IF(F36&gt;0,1,0)</f>
        <v>0</v>
      </c>
      <c r="G40" s="37" t="n">
        <f aca="false">IF(G36&gt;0,1,0)</f>
        <v>0</v>
      </c>
    </row>
    <row r="41" customFormat="false" ht="15" hidden="false" customHeight="false" outlineLevel="0" collapsed="false">
      <c r="A41" s="6" t="s">
        <v>215</v>
      </c>
      <c r="B41" s="6" t="s">
        <v>80</v>
      </c>
      <c r="C41" s="33" t="n">
        <f aca="false">IF((C6+C7)=0,0,(C29+C27)/(C6+C7))</f>
        <v>-567.5</v>
      </c>
      <c r="D41" s="33" t="n">
        <f aca="false">IF((D6+D7)=0,0,(D29+D27)/(D6+D7))</f>
        <v>-309.891304347826</v>
      </c>
      <c r="E41" s="33" t="n">
        <f aca="false">IF((E6+E7)=0,0,(E29+E27)/(E6+E7))</f>
        <v>-187.094000764234</v>
      </c>
      <c r="F41" s="33" t="n">
        <f aca="false">IF((F6+F7)=0,0,(F29+F27)/(F6+F7))</f>
        <v>-47.7837729816145</v>
      </c>
      <c r="G41" s="33" t="n">
        <f aca="false">IF((G6+G7)=0,0,(G29+G27)/(G6+G7))</f>
        <v>90.2778724855098</v>
      </c>
      <c r="H41" s="7" t="s">
        <v>216</v>
      </c>
    </row>
    <row r="43" customFormat="false" ht="15" hidden="false" customHeight="false" outlineLevel="0" collapsed="false">
      <c r="A43" s="15" t="s">
        <v>217</v>
      </c>
      <c r="B43" s="16"/>
      <c r="C43" s="16"/>
      <c r="D43" s="16"/>
      <c r="E43" s="16"/>
      <c r="F43" s="16"/>
      <c r="G43" s="16"/>
      <c r="H43" s="16"/>
    </row>
    <row r="44" customFormat="false" ht="15" hidden="false" customHeight="false" outlineLevel="0" collapsed="false">
      <c r="A44" s="6" t="s">
        <v>163</v>
      </c>
      <c r="B44" s="6" t="s">
        <v>68</v>
      </c>
      <c r="C44" s="33" t="n">
        <f aca="false">Déploiement!C$36*Hypothèses!$D$58</f>
        <v>7740</v>
      </c>
      <c r="D44" s="33" t="n">
        <f aca="false">Déploiement!D$36*Hypothèses!$D$58</f>
        <v>29670</v>
      </c>
      <c r="E44" s="33" t="n">
        <f aca="false">Déploiement!E$36*Hypothèses!$D$58</f>
        <v>78510</v>
      </c>
      <c r="F44" s="33" t="n">
        <f aca="false">Déploiement!F$36*Hypothèses!$D$58</f>
        <v>150120</v>
      </c>
      <c r="G44" s="33" t="n">
        <f aca="false">Déploiement!G$36*Hypothèses!$D$58</f>
        <v>263970</v>
      </c>
    </row>
    <row r="45" customFormat="false" ht="15" hidden="false" customHeight="false" outlineLevel="0" collapsed="false">
      <c r="A45" s="6" t="s">
        <v>175</v>
      </c>
      <c r="B45" s="6" t="s">
        <v>68</v>
      </c>
      <c r="C45" s="33" t="n">
        <f aca="false">Déploiement!C$40*Hypothèses!$D$67</f>
        <v>0</v>
      </c>
      <c r="D45" s="33" t="n">
        <f aca="false">Déploiement!D$40*Hypothèses!$D$67</f>
        <v>0</v>
      </c>
      <c r="E45" s="33" t="n">
        <f aca="false">Déploiement!E$40*Hypothèses!$D$67</f>
        <v>0</v>
      </c>
      <c r="F45" s="33" t="n">
        <f aca="false">Déploiement!F$40*Hypothèses!$D$67</f>
        <v>0</v>
      </c>
      <c r="G45" s="33" t="n">
        <f aca="false">Déploiement!G$40*Hypothèses!$D$67</f>
        <v>0</v>
      </c>
    </row>
    <row r="46" customFormat="false" ht="15" hidden="false" customHeight="false" outlineLevel="0" collapsed="false">
      <c r="A46" s="6" t="s">
        <v>165</v>
      </c>
      <c r="B46" s="6" t="s">
        <v>160</v>
      </c>
      <c r="C46" s="34" t="n">
        <f aca="false">Déploiement!C$38*Hypothèses!$D$58</f>
        <v>1161000000</v>
      </c>
      <c r="D46" s="34" t="n">
        <f aca="false">Déploiement!D$38*Hypothèses!$D$58</f>
        <v>4450500000</v>
      </c>
      <c r="E46" s="34" t="n">
        <f aca="false">Déploiement!E$38*Hypothèses!$D$58</f>
        <v>12456900000</v>
      </c>
      <c r="F46" s="34" t="n">
        <f aca="false">Déploiement!F$38*Hypothèses!$D$58</f>
        <v>25126200000</v>
      </c>
      <c r="G46" s="34" t="n">
        <f aca="false">Déploiement!G$38*Hypothèses!$D$58</f>
        <v>45981000000</v>
      </c>
    </row>
    <row r="47" customFormat="false" ht="15" hidden="false" customHeight="false" outlineLevel="0" collapsed="false">
      <c r="A47" s="6" t="s">
        <v>176</v>
      </c>
      <c r="B47" s="6" t="s">
        <v>160</v>
      </c>
      <c r="C47" s="34" t="n">
        <f aca="false">C46*(1-MIN(0.9,Hypothèses!C$17+Hypothèses!$D$71))</f>
        <v>986850000</v>
      </c>
      <c r="D47" s="34" t="n">
        <f aca="false">D46*(1-MIN(0.9,Hypothèses!D$17+Hypothèses!$D$71))</f>
        <v>3337875000</v>
      </c>
      <c r="E47" s="34" t="n">
        <f aca="false">E46*(1-MIN(0.9,Hypothèses!E$17+Hypothèses!$D$71))</f>
        <v>8719830000</v>
      </c>
      <c r="F47" s="34" t="n">
        <f aca="false">F46*(1-MIN(0.9,Hypothèses!F$17+Hypothèses!$D$71))</f>
        <v>16332030000</v>
      </c>
      <c r="G47" s="34" t="n">
        <f aca="false">G46*(1-MIN(0.9,Hypothèses!G$17+Hypothèses!$D$71))</f>
        <v>27588600000</v>
      </c>
      <c r="H47" s="7" t="s">
        <v>177</v>
      </c>
    </row>
    <row r="48" customFormat="false" ht="15" hidden="false" customHeight="false" outlineLevel="0" collapsed="false">
      <c r="A48" s="6" t="s">
        <v>178</v>
      </c>
      <c r="B48" s="6" t="s">
        <v>160</v>
      </c>
      <c r="C48" s="34" t="n">
        <f aca="false">C44*Hypothèses!C$18*Hypothèses!$C$35*Hypothèses!$D$65</f>
        <v>0</v>
      </c>
      <c r="D48" s="34" t="n">
        <f aca="false">D44*Hypothèses!D$18*Hypothèses!$C$35*Hypothèses!$D$65</f>
        <v>0</v>
      </c>
      <c r="E48" s="34" t="n">
        <f aca="false">E44*Hypothèses!E$18*Hypothèses!$C$35*Hypothèses!$D$65</f>
        <v>0</v>
      </c>
      <c r="F48" s="34" t="n">
        <f aca="false">F44*Hypothèses!F$18*Hypothèses!$C$35*Hypothèses!$D$65</f>
        <v>0</v>
      </c>
      <c r="G48" s="34" t="n">
        <f aca="false">G44*Hypothèses!G$18*Hypothèses!$C$35*Hypothèses!$D$65</f>
        <v>0</v>
      </c>
    </row>
    <row r="49" customFormat="false" ht="15" hidden="false" customHeight="false" outlineLevel="0" collapsed="false">
      <c r="A49" s="35" t="s">
        <v>179</v>
      </c>
    </row>
    <row r="50" customFormat="false" ht="15" hidden="false" customHeight="false" outlineLevel="0" collapsed="false">
      <c r="A50" s="6" t="s">
        <v>180</v>
      </c>
      <c r="B50" s="6" t="s">
        <v>160</v>
      </c>
      <c r="C50" s="34" t="n">
        <f aca="false">C46*Hypothèses!$D$59</f>
        <v>11610000</v>
      </c>
      <c r="D50" s="34" t="n">
        <f aca="false">D46*Hypothèses!$D$59</f>
        <v>44505000</v>
      </c>
      <c r="E50" s="34" t="n">
        <f aca="false">E46*Hypothèses!$D$59</f>
        <v>124569000</v>
      </c>
      <c r="F50" s="34" t="n">
        <f aca="false">F46*Hypothèses!$D$59</f>
        <v>251262000</v>
      </c>
      <c r="G50" s="34" t="n">
        <f aca="false">G46*Hypothèses!$D$59</f>
        <v>459810000</v>
      </c>
    </row>
    <row r="51" customFormat="false" ht="15" hidden="false" customHeight="false" outlineLevel="0" collapsed="false">
      <c r="A51" s="6" t="s">
        <v>181</v>
      </c>
      <c r="B51" s="6" t="s">
        <v>160</v>
      </c>
      <c r="C51" s="34" t="n">
        <f aca="false">C47*Hypothèses!$D$60</f>
        <v>9868500</v>
      </c>
      <c r="D51" s="34" t="n">
        <f aca="false">D47*Hypothèses!$D$60</f>
        <v>33378750</v>
      </c>
      <c r="E51" s="34" t="n">
        <f aca="false">E47*Hypothèses!$D$60</f>
        <v>87198300</v>
      </c>
      <c r="F51" s="34" t="n">
        <f aca="false">F47*Hypothèses!$D$60</f>
        <v>163320300</v>
      </c>
      <c r="G51" s="34" t="n">
        <f aca="false">G47*Hypothèses!$D$60</f>
        <v>275886000</v>
      </c>
    </row>
    <row r="52" customFormat="false" ht="15" hidden="false" customHeight="false" outlineLevel="0" collapsed="false">
      <c r="A52" s="6" t="s">
        <v>182</v>
      </c>
      <c r="B52" s="6" t="s">
        <v>160</v>
      </c>
      <c r="C52" s="34" t="n">
        <f aca="false">C44/Hypothèses!$C$30*Hypothèses!$D$62*Hypothèses!$C$31*12</f>
        <v>0</v>
      </c>
      <c r="D52" s="34" t="n">
        <f aca="false">D44/Hypothèses!$C$30*Hypothèses!$D$62*Hypothèses!$C$31*12</f>
        <v>0</v>
      </c>
      <c r="E52" s="34" t="n">
        <f aca="false">E44/Hypothèses!$C$30*Hypothèses!$D$62*Hypothèses!$C$31*12</f>
        <v>0</v>
      </c>
      <c r="F52" s="34" t="n">
        <f aca="false">F44/Hypothèses!$C$30*Hypothèses!$D$62*Hypothèses!$C$31*12</f>
        <v>0</v>
      </c>
      <c r="G52" s="34" t="n">
        <f aca="false">G44/Hypothèses!$C$30*Hypothèses!$D$62*Hypothèses!$C$31*12</f>
        <v>0</v>
      </c>
      <c r="H52" s="7" t="s">
        <v>183</v>
      </c>
    </row>
    <row r="53" customFormat="false" ht="15" hidden="false" customHeight="false" outlineLevel="0" collapsed="false">
      <c r="A53" s="6" t="s">
        <v>184</v>
      </c>
      <c r="B53" s="6" t="s">
        <v>160</v>
      </c>
      <c r="C53" s="34" t="n">
        <f aca="false">C44*Hypothèses!$D$63*Hypothèses!$C$32*12</f>
        <v>0</v>
      </c>
      <c r="D53" s="34" t="n">
        <f aca="false">D44*Hypothèses!$D$63*Hypothèses!$C$32*12</f>
        <v>0</v>
      </c>
      <c r="E53" s="34" t="n">
        <f aca="false">E44*Hypothèses!$D$63*Hypothèses!$C$32*12</f>
        <v>0</v>
      </c>
      <c r="F53" s="34" t="n">
        <f aca="false">F44*Hypothèses!$D$63*Hypothèses!$C$32*12</f>
        <v>0</v>
      </c>
      <c r="G53" s="34" t="n">
        <f aca="false">G44*Hypothèses!$D$63*Hypothèses!$C$32*12</f>
        <v>0</v>
      </c>
    </row>
    <row r="54" customFormat="false" ht="15" hidden="false" customHeight="false" outlineLevel="0" collapsed="false">
      <c r="A54" s="6" t="s">
        <v>185</v>
      </c>
      <c r="B54" s="6" t="s">
        <v>160</v>
      </c>
      <c r="C54" s="34" t="n">
        <f aca="false">C44*Hypothèses!$C$33*Hypothèses!$C$34*Hypothèses!$D$64</f>
        <v>1857600</v>
      </c>
      <c r="D54" s="34" t="n">
        <f aca="false">D44*Hypothèses!$C$33*Hypothèses!$C$34*Hypothèses!$D$64</f>
        <v>7120800</v>
      </c>
      <c r="E54" s="34" t="n">
        <f aca="false">E44*Hypothèses!$C$33*Hypothèses!$C$34*Hypothèses!$D$64</f>
        <v>18842400</v>
      </c>
      <c r="F54" s="34" t="n">
        <f aca="false">F44*Hypothèses!$C$33*Hypothèses!$C$34*Hypothèses!$D$64</f>
        <v>36028800</v>
      </c>
      <c r="G54" s="34" t="n">
        <f aca="false">G44*Hypothèses!$C$33*Hypothèses!$C$34*Hypothèses!$D$64</f>
        <v>63352800</v>
      </c>
    </row>
    <row r="55" customFormat="false" ht="15" hidden="false" customHeight="false" outlineLevel="0" collapsed="false">
      <c r="A55" s="6" t="s">
        <v>186</v>
      </c>
      <c r="B55" s="6" t="s">
        <v>160</v>
      </c>
      <c r="C55" s="34" t="n">
        <f aca="false">C48*Hypothèses!$C$36*Hypothèses!$C$37</f>
        <v>0</v>
      </c>
      <c r="D55" s="34" t="n">
        <f aca="false">D48*Hypothèses!$C$36*Hypothèses!$C$37</f>
        <v>0</v>
      </c>
      <c r="E55" s="34" t="n">
        <f aca="false">E48*Hypothèses!$C$36*Hypothèses!$C$37</f>
        <v>0</v>
      </c>
      <c r="F55" s="34" t="n">
        <f aca="false">F48*Hypothèses!$C$36*Hypothèses!$C$37</f>
        <v>0</v>
      </c>
      <c r="G55" s="34" t="n">
        <f aca="false">G48*Hypothèses!$C$36*Hypothèses!$C$37</f>
        <v>0</v>
      </c>
    </row>
    <row r="56" customFormat="false" ht="15" hidden="false" customHeight="false" outlineLevel="0" collapsed="false">
      <c r="A56" s="6" t="s">
        <v>187</v>
      </c>
      <c r="B56" s="6" t="s">
        <v>160</v>
      </c>
      <c r="C56" s="34" t="n">
        <f aca="false">C44*Hypothèses!$C$41*Hypothèses!$C$42*Hypothèses!$C$43*Hypothèses!$D$66</f>
        <v>0</v>
      </c>
      <c r="D56" s="34" t="n">
        <f aca="false">D44*Hypothèses!$C$41*Hypothèses!$C$42*Hypothèses!$C$43*Hypothèses!$D$66</f>
        <v>0</v>
      </c>
      <c r="E56" s="34" t="n">
        <f aca="false">E44*Hypothèses!$C$41*Hypothèses!$C$42*Hypothèses!$C$43*Hypothèses!$D$66</f>
        <v>0</v>
      </c>
      <c r="F56" s="34" t="n">
        <f aca="false">F44*Hypothèses!$C$41*Hypothèses!$C$42*Hypothèses!$C$43*Hypothèses!$D$66</f>
        <v>0</v>
      </c>
      <c r="G56" s="34" t="n">
        <f aca="false">G44*Hypothèses!$C$41*Hypothèses!$C$42*Hypothèses!$C$43*Hypothèses!$D$66</f>
        <v>0</v>
      </c>
    </row>
    <row r="57" customFormat="false" ht="15" hidden="false" customHeight="false" outlineLevel="0" collapsed="false">
      <c r="A57" s="6" t="s">
        <v>188</v>
      </c>
      <c r="B57" s="6" t="s">
        <v>160</v>
      </c>
      <c r="C57" s="34" t="n">
        <f aca="false">C45*Hypothèses!$C$44*12</f>
        <v>0</v>
      </c>
      <c r="D57" s="34" t="n">
        <f aca="false">D45*Hypothèses!$C$44*12</f>
        <v>0</v>
      </c>
      <c r="E57" s="34" t="n">
        <f aca="false">E45*Hypothèses!$C$44*12</f>
        <v>0</v>
      </c>
      <c r="F57" s="34" t="n">
        <f aca="false">F45*Hypothèses!$C$44*12</f>
        <v>0</v>
      </c>
      <c r="G57" s="34" t="n">
        <f aca="false">G45*Hypothèses!$C$44*12</f>
        <v>0</v>
      </c>
    </row>
    <row r="58" customFormat="false" ht="15" hidden="false" customHeight="false" outlineLevel="0" collapsed="false">
      <c r="A58" s="6" t="s">
        <v>189</v>
      </c>
      <c r="B58" s="6" t="s">
        <v>160</v>
      </c>
      <c r="C58" s="34" t="n">
        <f aca="false">C45*Hypothèses!C$18*Hypothèses!$C$35*Hypothèses!$C$40</f>
        <v>0</v>
      </c>
      <c r="D58" s="34" t="n">
        <f aca="false">D45*Hypothèses!D$18*Hypothèses!$C$35*Hypothèses!$C$40</f>
        <v>0</v>
      </c>
      <c r="E58" s="34" t="n">
        <f aca="false">E45*Hypothèses!E$18*Hypothèses!$C$35*Hypothèses!$C$40</f>
        <v>0</v>
      </c>
      <c r="F58" s="34" t="n">
        <f aca="false">F45*Hypothèses!F$18*Hypothèses!$C$35*Hypothèses!$C$40</f>
        <v>0</v>
      </c>
      <c r="G58" s="34" t="n">
        <f aca="false">G45*Hypothèses!G$18*Hypothèses!$C$35*Hypothèses!$C$40</f>
        <v>0</v>
      </c>
    </row>
    <row r="59" customFormat="false" ht="15" hidden="false" customHeight="false" outlineLevel="0" collapsed="false">
      <c r="A59" s="12" t="s">
        <v>190</v>
      </c>
      <c r="B59" s="6" t="s">
        <v>160</v>
      </c>
      <c r="C59" s="36" t="n">
        <f aca="false">SUM(C50:C58)</f>
        <v>23336100</v>
      </c>
      <c r="D59" s="36" t="n">
        <f aca="false">SUM(D50:D58)</f>
        <v>85004550</v>
      </c>
      <c r="E59" s="36" t="n">
        <f aca="false">SUM(E50:E58)</f>
        <v>230609700</v>
      </c>
      <c r="F59" s="36" t="n">
        <f aca="false">SUM(F50:F58)</f>
        <v>450611100</v>
      </c>
      <c r="G59" s="36" t="n">
        <f aca="false">SUM(G50:G58)</f>
        <v>799048800</v>
      </c>
    </row>
    <row r="60" customFormat="false" ht="15" hidden="false" customHeight="false" outlineLevel="0" collapsed="false">
      <c r="A60" s="35" t="s">
        <v>191</v>
      </c>
    </row>
    <row r="61" customFormat="false" ht="15" hidden="false" customHeight="false" outlineLevel="0" collapsed="false">
      <c r="A61" s="6" t="s">
        <v>192</v>
      </c>
      <c r="B61" s="6" t="s">
        <v>160</v>
      </c>
      <c r="C61" s="34" t="n">
        <f aca="false">C47*(Hypothèses!$C$24+Hypothèses!$C$25)*(1-Hypothèses!$D$61)*(1-Hypothèses!$D$70)</f>
        <v>14802750</v>
      </c>
      <c r="D61" s="34" t="n">
        <f aca="false">D47*(Hypothèses!$C$24+Hypothèses!$C$25)*(1-Hypothèses!$D$61)*(1-Hypothèses!$D$70)</f>
        <v>50068125</v>
      </c>
      <c r="E61" s="34" t="n">
        <f aca="false">E47*(Hypothèses!$C$24+Hypothèses!$C$25)*(1-Hypothèses!$D$61)*(1-Hypothèses!$D$70)</f>
        <v>130797450</v>
      </c>
      <c r="F61" s="34" t="n">
        <f aca="false">F47*(Hypothèses!$C$24+Hypothèses!$C$25)*(1-Hypothèses!$D$61)*(1-Hypothèses!$D$70)</f>
        <v>244980450</v>
      </c>
      <c r="G61" s="34" t="n">
        <f aca="false">G47*(Hypothèses!$C$24+Hypothèses!$C$25)*(1-Hypothèses!$D$61)*(1-Hypothèses!$D$70)</f>
        <v>413829000</v>
      </c>
      <c r="H61" s="7" t="s">
        <v>193</v>
      </c>
    </row>
    <row r="62" customFormat="false" ht="15" hidden="false" customHeight="false" outlineLevel="0" collapsed="false">
      <c r="A62" s="6" t="s">
        <v>194</v>
      </c>
      <c r="B62" s="6" t="s">
        <v>160</v>
      </c>
      <c r="C62" s="34" t="n">
        <f aca="false">(C44+0.5*C45)*(Hypothèses!$C$26+Hypothèses!$C$27)</f>
        <v>2089800</v>
      </c>
      <c r="D62" s="34" t="n">
        <f aca="false">(D44+0.5*D45)*(Hypothèses!$C$26+Hypothèses!$C$27)</f>
        <v>8010900</v>
      </c>
      <c r="E62" s="34" t="n">
        <f aca="false">(E44+0.5*E45)*(Hypothèses!$C$26+Hypothèses!$C$27)</f>
        <v>21197700</v>
      </c>
      <c r="F62" s="34" t="n">
        <f aca="false">(F44+0.5*F45)*(Hypothèses!$C$26+Hypothèses!$C$27)</f>
        <v>40532400</v>
      </c>
      <c r="G62" s="34" t="n">
        <f aca="false">(G44+0.5*G45)*(Hypothèses!$C$26+Hypothèses!$C$27)</f>
        <v>71271900</v>
      </c>
      <c r="H62" s="7" t="s">
        <v>195</v>
      </c>
    </row>
    <row r="63" customFormat="false" ht="15" hidden="false" customHeight="false" outlineLevel="0" collapsed="false">
      <c r="A63" s="6" t="s">
        <v>196</v>
      </c>
      <c r="B63" s="6" t="s">
        <v>160</v>
      </c>
      <c r="C63" s="34" t="n">
        <f aca="false">C44*Hypothèses!$C$29*Hypothèses!$C$28</f>
        <v>967500</v>
      </c>
      <c r="D63" s="34" t="n">
        <f aca="false">MAX(0,D44-C44)*Hypothèses!$C$29*Hypothèses!$C$28</f>
        <v>2741250</v>
      </c>
      <c r="E63" s="34" t="n">
        <f aca="false">MAX(0,E44-D44)*Hypothèses!$C$29*Hypothèses!$C$28</f>
        <v>6105000</v>
      </c>
      <c r="F63" s="34" t="n">
        <f aca="false">MAX(0,F44-E44)*Hypothèses!$C$29*Hypothèses!$C$28</f>
        <v>8951250</v>
      </c>
      <c r="G63" s="34" t="n">
        <f aca="false">MAX(0,G44-F44)*Hypothèses!$C$29*Hypothèses!$C$28</f>
        <v>14231250</v>
      </c>
    </row>
    <row r="64" customFormat="false" ht="15" hidden="false" customHeight="false" outlineLevel="0" collapsed="false">
      <c r="A64" s="6" t="s">
        <v>197</v>
      </c>
      <c r="B64" s="6" t="s">
        <v>160</v>
      </c>
      <c r="C64" s="34" t="n">
        <f aca="false">C48*Hypothèses!$C$38*Hypothèses!$C$39</f>
        <v>0</v>
      </c>
      <c r="D64" s="34" t="n">
        <f aca="false">D48*Hypothèses!$C$38*Hypothèses!$C$39</f>
        <v>0</v>
      </c>
      <c r="E64" s="34" t="n">
        <f aca="false">E48*Hypothèses!$C$38*Hypothèses!$C$39</f>
        <v>0</v>
      </c>
      <c r="F64" s="34" t="n">
        <f aca="false">F48*Hypothèses!$C$38*Hypothèses!$C$39</f>
        <v>0</v>
      </c>
      <c r="G64" s="34" t="n">
        <f aca="false">G48*Hypothèses!$C$38*Hypothèses!$C$39</f>
        <v>0</v>
      </c>
    </row>
    <row r="65" customFormat="false" ht="15" hidden="false" customHeight="false" outlineLevel="0" collapsed="false">
      <c r="A65" s="6" t="s">
        <v>198</v>
      </c>
      <c r="B65" s="6" t="s">
        <v>160</v>
      </c>
      <c r="C65" s="34" t="n">
        <f aca="false">C44*Hypothèses!$D$68+C45*Hypothèses!$D$69</f>
        <v>9288000</v>
      </c>
      <c r="D65" s="34" t="n">
        <f aca="false">MAX(0,D44-C44)*Hypothèses!$D$68+MAX(0,D45-C45)*Hypothèses!$D$69</f>
        <v>26316000</v>
      </c>
      <c r="E65" s="34" t="n">
        <f aca="false">MAX(0,E44-D44)*Hypothèses!$D$68+MAX(0,E45-D45)*Hypothèses!$D$69</f>
        <v>58608000</v>
      </c>
      <c r="F65" s="34" t="n">
        <f aca="false">MAX(0,F44-E44)*Hypothèses!$D$68+MAX(0,F45-E45)*Hypothèses!$D$69</f>
        <v>85932000</v>
      </c>
      <c r="G65" s="34" t="n">
        <f aca="false">MAX(0,G44-F44)*Hypothèses!$D$68+MAX(0,G45-F45)*Hypothèses!$D$69</f>
        <v>136620000</v>
      </c>
      <c r="H65" s="7" t="s">
        <v>199</v>
      </c>
    </row>
    <row r="66" customFormat="false" ht="15" hidden="false" customHeight="false" outlineLevel="0" collapsed="false">
      <c r="A66" s="12" t="s">
        <v>200</v>
      </c>
      <c r="B66" s="6" t="s">
        <v>160</v>
      </c>
      <c r="C66" s="36" t="n">
        <f aca="false">SUM(C61:C65)</f>
        <v>27148050</v>
      </c>
      <c r="D66" s="36" t="n">
        <f aca="false">SUM(D61:D65)</f>
        <v>87136275</v>
      </c>
      <c r="E66" s="36" t="n">
        <f aca="false">SUM(E61:E65)</f>
        <v>216708150</v>
      </c>
      <c r="F66" s="36" t="n">
        <f aca="false">SUM(F61:F65)</f>
        <v>380396100</v>
      </c>
      <c r="G66" s="36" t="n">
        <f aca="false">SUM(G61:G65)</f>
        <v>635952150</v>
      </c>
    </row>
    <row r="67" customFormat="false" ht="15" hidden="false" customHeight="false" outlineLevel="0" collapsed="false">
      <c r="A67" s="12" t="s">
        <v>201</v>
      </c>
      <c r="B67" s="6" t="s">
        <v>160</v>
      </c>
      <c r="C67" s="36" t="n">
        <f aca="false">C59-C66</f>
        <v>-3811950</v>
      </c>
      <c r="D67" s="36" t="n">
        <f aca="false">D59-D66</f>
        <v>-2131725</v>
      </c>
      <c r="E67" s="36" t="n">
        <f aca="false">E59-E66</f>
        <v>13901550</v>
      </c>
      <c r="F67" s="36" t="n">
        <f aca="false">F59-F66</f>
        <v>70215000</v>
      </c>
      <c r="G67" s="36" t="n">
        <f aca="false">G59-G66</f>
        <v>163096650</v>
      </c>
    </row>
    <row r="68" customFormat="false" ht="15" hidden="false" customHeight="false" outlineLevel="0" collapsed="false">
      <c r="A68" s="35" t="s">
        <v>202</v>
      </c>
    </row>
    <row r="69" customFormat="false" ht="15" hidden="false" customHeight="false" outlineLevel="0" collapsed="false">
      <c r="A69" s="6" t="s">
        <v>203</v>
      </c>
      <c r="B69" s="6" t="s">
        <v>160</v>
      </c>
      <c r="C69" s="34" t="n">
        <f aca="false">(Hypothèses!C$20*Hypothèses!$C$46+Hypothèses!$C$49)*(1-Hypothèses!$D$72)</f>
        <v>88000000</v>
      </c>
      <c r="D69" s="34" t="n">
        <f aca="false">(Hypothèses!D$20*Hypothèses!$C$46+Hypothèses!$C$49)*(1-Hypothèses!$D$72)</f>
        <v>112000000</v>
      </c>
      <c r="E69" s="34" t="n">
        <f aca="false">(Hypothèses!E$20*Hypothèses!$C$46+Hypothèses!$C$49)*(1-Hypothèses!$D$72)</f>
        <v>136000000</v>
      </c>
      <c r="F69" s="34" t="n">
        <f aca="false">(Hypothèses!F$20*Hypothèses!$C$46+Hypothèses!$C$49)*(1-Hypothèses!$D$72)</f>
        <v>160000000</v>
      </c>
      <c r="G69" s="34" t="n">
        <f aca="false">(Hypothèses!G$20*Hypothèses!$C$46+Hypothèses!$C$49)*(1-Hypothèses!$D$72)</f>
        <v>184000000</v>
      </c>
    </row>
    <row r="70" customFormat="false" ht="15" hidden="false" customHeight="false" outlineLevel="0" collapsed="false">
      <c r="A70" s="6" t="s">
        <v>204</v>
      </c>
      <c r="B70" s="6" t="s">
        <v>160</v>
      </c>
      <c r="C70" s="34" t="n">
        <f aca="false">Déploiement!C$39*(Hypothèses!$C$47+Hypothèses!$C$48)*Hypothèses!$D$58+Déploiement!C$39*Hypothèses!$C$47*0.5*(1-Hypothèses!$D$58)</f>
        <v>57000000</v>
      </c>
      <c r="D70" s="34" t="n">
        <f aca="false">Déploiement!D$39*(Hypothèses!$C$47+Hypothèses!$C$48)*Hypothèses!$D$58+Déploiement!D$39*Hypothèses!$C$47*0.5*(1-Hypothèses!$D$58)</f>
        <v>57000000</v>
      </c>
      <c r="E70" s="34" t="n">
        <f aca="false">Déploiement!E$39*(Hypothèses!$C$47+Hypothèses!$C$48)*Hypothèses!$D$58+Déploiement!E$39*Hypothèses!$C$47*0.5*(1-Hypothèses!$D$58)</f>
        <v>114000000</v>
      </c>
      <c r="F70" s="34" t="n">
        <f aca="false">Déploiement!F$39*(Hypothèses!$C$47+Hypothèses!$C$48)*Hypothèses!$D$58+Déploiement!F$39*Hypothèses!$C$47*0.5*(1-Hypothèses!$D$58)</f>
        <v>171000000</v>
      </c>
      <c r="G70" s="34" t="n">
        <f aca="false">Déploiement!G$39*(Hypothèses!$C$47+Hypothèses!$C$48)*Hypothèses!$D$58+Déploiement!G$39*Hypothèses!$C$47*0.5*(1-Hypothèses!$D$58)</f>
        <v>285000000</v>
      </c>
      <c r="H70" s="7" t="s">
        <v>205</v>
      </c>
    </row>
    <row r="71" customFormat="false" ht="15" hidden="false" customHeight="false" outlineLevel="0" collapsed="false">
      <c r="A71" s="6" t="s">
        <v>206</v>
      </c>
      <c r="B71" s="6" t="s">
        <v>160</v>
      </c>
      <c r="C71" s="34" t="n">
        <f aca="false">Hypothèses!$C$50*Hypothèses!C$21*Hypothèses!$D$65+Hypothèses!$C$51*IF(Hypothèses!$D$67&gt;0,1,0)</f>
        <v>0</v>
      </c>
      <c r="D71" s="34" t="n">
        <f aca="false">Hypothèses!$C$50*Hypothèses!D$21*Hypothèses!$D$65+Hypothèses!$C$51*IF(Hypothèses!$D$67&gt;0,1,0)</f>
        <v>0</v>
      </c>
      <c r="E71" s="34" t="n">
        <f aca="false">Hypothèses!$C$50*Hypothèses!E$21*Hypothèses!$D$65+Hypothèses!$C$51*IF(Hypothèses!$D$67&gt;0,1,0)</f>
        <v>0</v>
      </c>
      <c r="F71" s="34" t="n">
        <f aca="false">Hypothèses!$C$50*Hypothèses!F$21*Hypothèses!$D$65+Hypothèses!$C$51*IF(Hypothèses!$D$67&gt;0,1,0)</f>
        <v>0</v>
      </c>
      <c r="G71" s="34" t="n">
        <f aca="false">Hypothèses!$C$50*Hypothèses!G$21*Hypothèses!$D$65+Hypothèses!$C$51*IF(Hypothèses!$D$67&gt;0,1,0)</f>
        <v>0</v>
      </c>
    </row>
    <row r="72" customFormat="false" ht="15" hidden="false" customHeight="false" outlineLevel="0" collapsed="false">
      <c r="A72" s="12" t="s">
        <v>207</v>
      </c>
      <c r="B72" s="6" t="s">
        <v>160</v>
      </c>
      <c r="C72" s="36" t="n">
        <f aca="false">SUM(C69:C71)</f>
        <v>145000000</v>
      </c>
      <c r="D72" s="36" t="n">
        <f aca="false">SUM(D69:D71)</f>
        <v>169000000</v>
      </c>
      <c r="E72" s="36" t="n">
        <f aca="false">SUM(E69:E71)</f>
        <v>250000000</v>
      </c>
      <c r="F72" s="36" t="n">
        <f aca="false">SUM(F69:F71)</f>
        <v>331000000</v>
      </c>
      <c r="G72" s="36" t="n">
        <f aca="false">SUM(G69:G71)</f>
        <v>469000000</v>
      </c>
    </row>
    <row r="73" customFormat="false" ht="15" hidden="false" customHeight="false" outlineLevel="0" collapsed="false">
      <c r="A73" s="35" t="s">
        <v>208</v>
      </c>
    </row>
    <row r="74" customFormat="false" ht="15" hidden="false" customHeight="false" outlineLevel="0" collapsed="false">
      <c r="A74" s="12" t="s">
        <v>209</v>
      </c>
      <c r="B74" s="6" t="s">
        <v>160</v>
      </c>
      <c r="C74" s="36" t="n">
        <f aca="false">C67-C72</f>
        <v>-148811950</v>
      </c>
      <c r="D74" s="36" t="n">
        <f aca="false">D67-D72</f>
        <v>-171131725</v>
      </c>
      <c r="E74" s="36" t="n">
        <f aca="false">E67-E72</f>
        <v>-236098450</v>
      </c>
      <c r="F74" s="36" t="n">
        <f aca="false">F67-F72</f>
        <v>-260785000</v>
      </c>
      <c r="G74" s="36" t="n">
        <f aca="false">G67-G72</f>
        <v>-305903350</v>
      </c>
    </row>
    <row r="75" customFormat="false" ht="15" hidden="false" customHeight="false" outlineLevel="0" collapsed="false">
      <c r="A75" s="6" t="s">
        <v>210</v>
      </c>
      <c r="B75" s="6" t="s">
        <v>160</v>
      </c>
      <c r="C75" s="34" t="n">
        <f aca="false">MAX(0,C74-Hypothèses!$C$52/3*IF(0&lt;3,1,0))*Hypothèses!$C$53</f>
        <v>0</v>
      </c>
      <c r="D75" s="34" t="n">
        <f aca="false">MAX(0,D74-Hypothèses!$C$52/3*IF(1&lt;3,1,0))*Hypothèses!$C$53</f>
        <v>0</v>
      </c>
      <c r="E75" s="34" t="n">
        <f aca="false">MAX(0,E74-Hypothèses!$C$52/3*IF(2&lt;3,1,0))*Hypothèses!$C$53</f>
        <v>0</v>
      </c>
      <c r="F75" s="34" t="n">
        <f aca="false">MAX(0,F74-Hypothèses!$C$52/3*IF(3&lt;3,1,0))*Hypothèses!$C$53</f>
        <v>0</v>
      </c>
      <c r="G75" s="34" t="n">
        <f aca="false">MAX(0,G74-Hypothèses!$C$52/3*IF(4&lt;3,1,0))*Hypothèses!$C$53</f>
        <v>0</v>
      </c>
    </row>
    <row r="76" customFormat="false" ht="15" hidden="false" customHeight="false" outlineLevel="0" collapsed="false">
      <c r="A76" s="6" t="s">
        <v>211</v>
      </c>
      <c r="B76" s="6" t="s">
        <v>160</v>
      </c>
      <c r="C76" s="34" t="n">
        <f aca="false">C74-C75-IF(0=0,Hypothèses!$C$52,0)</f>
        <v>-193811950</v>
      </c>
      <c r="D76" s="34" t="n">
        <f aca="false">D74-D75-IF(1=0,Hypothèses!$C$52,0)</f>
        <v>-171131725</v>
      </c>
      <c r="E76" s="34" t="n">
        <f aca="false">E74-E75-IF(2=0,Hypothèses!$C$52,0)</f>
        <v>-236098450</v>
      </c>
      <c r="F76" s="34" t="n">
        <f aca="false">F74-F75-IF(3=0,Hypothèses!$C$52,0)</f>
        <v>-260785000</v>
      </c>
      <c r="G76" s="34" t="n">
        <f aca="false">G74-G75-IF(4=0,Hypothèses!$C$52,0)</f>
        <v>-305903350</v>
      </c>
    </row>
    <row r="77" customFormat="false" ht="15" hidden="false" customHeight="false" outlineLevel="0" collapsed="false">
      <c r="A77" s="12" t="s">
        <v>212</v>
      </c>
      <c r="B77" s="6" t="s">
        <v>160</v>
      </c>
      <c r="C77" s="36" t="n">
        <f aca="false">C76</f>
        <v>-193811950</v>
      </c>
      <c r="D77" s="36" t="n">
        <f aca="false">C77+D76</f>
        <v>-364943675</v>
      </c>
      <c r="E77" s="36" t="n">
        <f aca="false">D77+E76</f>
        <v>-601042125</v>
      </c>
      <c r="F77" s="36" t="n">
        <f aca="false">E77+F76</f>
        <v>-861827125</v>
      </c>
      <c r="G77" s="36" t="n">
        <f aca="false">F77+G76</f>
        <v>-1167730475</v>
      </c>
    </row>
    <row r="78" customFormat="false" ht="15" hidden="false" customHeight="false" outlineLevel="0" collapsed="false">
      <c r="A78" s="6" t="s">
        <v>213</v>
      </c>
      <c r="B78" s="6" t="s">
        <v>214</v>
      </c>
      <c r="C78" s="37" t="n">
        <f aca="false">IF(C74&gt;0,1,0)</f>
        <v>0</v>
      </c>
      <c r="D78" s="37" t="n">
        <f aca="false">IF(D74&gt;0,1,0)</f>
        <v>0</v>
      </c>
      <c r="E78" s="37" t="n">
        <f aca="false">IF(E74&gt;0,1,0)</f>
        <v>0</v>
      </c>
      <c r="F78" s="37" t="n">
        <f aca="false">IF(F74&gt;0,1,0)</f>
        <v>0</v>
      </c>
      <c r="G78" s="37" t="n">
        <f aca="false">IF(G74&gt;0,1,0)</f>
        <v>0</v>
      </c>
    </row>
    <row r="79" customFormat="false" ht="15" hidden="false" customHeight="false" outlineLevel="0" collapsed="false">
      <c r="A79" s="6" t="s">
        <v>215</v>
      </c>
      <c r="B79" s="6" t="s">
        <v>80</v>
      </c>
      <c r="C79" s="33" t="n">
        <f aca="false">IF((C44+C45)=0,0,(C67+C65)/(C44+C45))</f>
        <v>707.5</v>
      </c>
      <c r="D79" s="33" t="n">
        <f aca="false">IF((D44+D45)=0,0,(D67+D65)/(D44+D45))</f>
        <v>815.108695652174</v>
      </c>
      <c r="E79" s="33" t="n">
        <f aca="false">IF((E44+E45)=0,0,(E67+E65)/(E44+E45))</f>
        <v>923.570882690103</v>
      </c>
      <c r="F79" s="33" t="n">
        <f aca="false">IF((F44+F45)=0,0,(F67+F65)/(F44+F45))</f>
        <v>1040.14788169464</v>
      </c>
      <c r="G79" s="33" t="n">
        <f aca="false">IF((G44+G45)=0,0,(G67+G65)/(G44+G45))</f>
        <v>1135.41936583703</v>
      </c>
      <c r="H79" s="7" t="s">
        <v>216</v>
      </c>
    </row>
    <row r="81" customFormat="false" ht="15" hidden="false" customHeight="false" outlineLevel="0" collapsed="false">
      <c r="A81" s="15" t="s">
        <v>218</v>
      </c>
      <c r="B81" s="16"/>
      <c r="C81" s="16"/>
      <c r="D81" s="16"/>
      <c r="E81" s="16"/>
      <c r="F81" s="16"/>
      <c r="G81" s="16"/>
      <c r="H81" s="16"/>
    </row>
    <row r="82" customFormat="false" ht="15" hidden="false" customHeight="false" outlineLevel="0" collapsed="false">
      <c r="A82" s="6" t="s">
        <v>163</v>
      </c>
      <c r="B82" s="6" t="s">
        <v>68</v>
      </c>
      <c r="C82" s="33" t="n">
        <f aca="false">Déploiement!C$36*Hypothèses!$E$58</f>
        <v>7740</v>
      </c>
      <c r="D82" s="33" t="n">
        <f aca="false">Déploiement!D$36*Hypothèses!$E$58</f>
        <v>29670</v>
      </c>
      <c r="E82" s="33" t="n">
        <f aca="false">Déploiement!E$36*Hypothèses!$E$58</f>
        <v>78510</v>
      </c>
      <c r="F82" s="33" t="n">
        <f aca="false">Déploiement!F$36*Hypothèses!$E$58</f>
        <v>150120</v>
      </c>
      <c r="G82" s="33" t="n">
        <f aca="false">Déploiement!G$36*Hypothèses!$E$58</f>
        <v>263970</v>
      </c>
    </row>
    <row r="83" customFormat="false" ht="15" hidden="false" customHeight="false" outlineLevel="0" collapsed="false">
      <c r="A83" s="6" t="s">
        <v>175</v>
      </c>
      <c r="B83" s="6" t="s">
        <v>68</v>
      </c>
      <c r="C83" s="33" t="n">
        <f aca="false">Déploiement!C$40*Hypothèses!$E$67</f>
        <v>0</v>
      </c>
      <c r="D83" s="33" t="n">
        <f aca="false">Déploiement!D$40*Hypothèses!$E$67</f>
        <v>0</v>
      </c>
      <c r="E83" s="33" t="n">
        <f aca="false">Déploiement!E$40*Hypothèses!$E$67</f>
        <v>0</v>
      </c>
      <c r="F83" s="33" t="n">
        <f aca="false">Déploiement!F$40*Hypothèses!$E$67</f>
        <v>0</v>
      </c>
      <c r="G83" s="33" t="n">
        <f aca="false">Déploiement!G$40*Hypothèses!$E$67</f>
        <v>0</v>
      </c>
    </row>
    <row r="84" customFormat="false" ht="15" hidden="false" customHeight="false" outlineLevel="0" collapsed="false">
      <c r="A84" s="6" t="s">
        <v>165</v>
      </c>
      <c r="B84" s="6" t="s">
        <v>160</v>
      </c>
      <c r="C84" s="34" t="n">
        <f aca="false">Déploiement!C$38*Hypothèses!$E$58</f>
        <v>1161000000</v>
      </c>
      <c r="D84" s="34" t="n">
        <f aca="false">Déploiement!D$38*Hypothèses!$E$58</f>
        <v>4450500000</v>
      </c>
      <c r="E84" s="34" t="n">
        <f aca="false">Déploiement!E$38*Hypothèses!$E$58</f>
        <v>12456900000</v>
      </c>
      <c r="F84" s="34" t="n">
        <f aca="false">Déploiement!F$38*Hypothèses!$E$58</f>
        <v>25126200000</v>
      </c>
      <c r="G84" s="34" t="n">
        <f aca="false">Déploiement!G$38*Hypothèses!$E$58</f>
        <v>45981000000</v>
      </c>
    </row>
    <row r="85" customFormat="false" ht="15" hidden="false" customHeight="false" outlineLevel="0" collapsed="false">
      <c r="A85" s="6" t="s">
        <v>176</v>
      </c>
      <c r="B85" s="6" t="s">
        <v>160</v>
      </c>
      <c r="C85" s="34" t="n">
        <f aca="false">C84*(1-MIN(0.9,Hypothèses!C$17+Hypothèses!$E$71))</f>
        <v>986850000</v>
      </c>
      <c r="D85" s="34" t="n">
        <f aca="false">D84*(1-MIN(0.9,Hypothèses!D$17+Hypothèses!$E$71))</f>
        <v>3337875000</v>
      </c>
      <c r="E85" s="34" t="n">
        <f aca="false">E84*(1-MIN(0.9,Hypothèses!E$17+Hypothèses!$E$71))</f>
        <v>8719830000</v>
      </c>
      <c r="F85" s="34" t="n">
        <f aca="false">F84*(1-MIN(0.9,Hypothèses!F$17+Hypothèses!$E$71))</f>
        <v>16332030000</v>
      </c>
      <c r="G85" s="34" t="n">
        <f aca="false">G84*(1-MIN(0.9,Hypothèses!G$17+Hypothèses!$E$71))</f>
        <v>27588600000</v>
      </c>
      <c r="H85" s="7" t="s">
        <v>177</v>
      </c>
    </row>
    <row r="86" customFormat="false" ht="15" hidden="false" customHeight="false" outlineLevel="0" collapsed="false">
      <c r="A86" s="6" t="s">
        <v>178</v>
      </c>
      <c r="B86" s="6" t="s">
        <v>160</v>
      </c>
      <c r="C86" s="34" t="n">
        <f aca="false">C82*Hypothèses!C$18*Hypothèses!$C$35*Hypothèses!$E$65</f>
        <v>0</v>
      </c>
      <c r="D86" s="34" t="n">
        <f aca="false">D82*Hypothèses!D$18*Hypothèses!$C$35*Hypothèses!$E$65</f>
        <v>0</v>
      </c>
      <c r="E86" s="34" t="n">
        <f aca="false">E82*Hypothèses!E$18*Hypothèses!$C$35*Hypothèses!$E$65</f>
        <v>0</v>
      </c>
      <c r="F86" s="34" t="n">
        <f aca="false">F82*Hypothèses!F$18*Hypothèses!$C$35*Hypothèses!$E$65</f>
        <v>0</v>
      </c>
      <c r="G86" s="34" t="n">
        <f aca="false">G82*Hypothèses!G$18*Hypothèses!$C$35*Hypothèses!$E$65</f>
        <v>0</v>
      </c>
    </row>
    <row r="87" customFormat="false" ht="15" hidden="false" customHeight="false" outlineLevel="0" collapsed="false">
      <c r="A87" s="35" t="s">
        <v>179</v>
      </c>
    </row>
    <row r="88" customFormat="false" ht="15" hidden="false" customHeight="false" outlineLevel="0" collapsed="false">
      <c r="A88" s="6" t="s">
        <v>180</v>
      </c>
      <c r="B88" s="6" t="s">
        <v>160</v>
      </c>
      <c r="C88" s="34" t="n">
        <f aca="false">C84*Hypothèses!$E$59</f>
        <v>0</v>
      </c>
      <c r="D88" s="34" t="n">
        <f aca="false">D84*Hypothèses!$E$59</f>
        <v>0</v>
      </c>
      <c r="E88" s="34" t="n">
        <f aca="false">E84*Hypothèses!$E$59</f>
        <v>0</v>
      </c>
      <c r="F88" s="34" t="n">
        <f aca="false">F84*Hypothèses!$E$59</f>
        <v>0</v>
      </c>
      <c r="G88" s="34" t="n">
        <f aca="false">G84*Hypothèses!$E$59</f>
        <v>0</v>
      </c>
    </row>
    <row r="89" customFormat="false" ht="15" hidden="false" customHeight="false" outlineLevel="0" collapsed="false">
      <c r="A89" s="6" t="s">
        <v>181</v>
      </c>
      <c r="B89" s="6" t="s">
        <v>160</v>
      </c>
      <c r="C89" s="34" t="n">
        <f aca="false">C85*Hypothèses!$E$60</f>
        <v>0</v>
      </c>
      <c r="D89" s="34" t="n">
        <f aca="false">D85*Hypothèses!$E$60</f>
        <v>0</v>
      </c>
      <c r="E89" s="34" t="n">
        <f aca="false">E85*Hypothèses!$E$60</f>
        <v>0</v>
      </c>
      <c r="F89" s="34" t="n">
        <f aca="false">F85*Hypothèses!$E$60</f>
        <v>0</v>
      </c>
      <c r="G89" s="34" t="n">
        <f aca="false">G85*Hypothèses!$E$60</f>
        <v>0</v>
      </c>
    </row>
    <row r="90" customFormat="false" ht="15" hidden="false" customHeight="false" outlineLevel="0" collapsed="false">
      <c r="A90" s="6" t="s">
        <v>182</v>
      </c>
      <c r="B90" s="6" t="s">
        <v>160</v>
      </c>
      <c r="C90" s="34" t="n">
        <f aca="false">C82/Hypothèses!$C$30*Hypothèses!$E$62*Hypothèses!$C$31*12</f>
        <v>3870000</v>
      </c>
      <c r="D90" s="34" t="n">
        <f aca="false">D82/Hypothèses!$C$30*Hypothèses!$E$62*Hypothèses!$C$31*12</f>
        <v>14835000</v>
      </c>
      <c r="E90" s="34" t="n">
        <f aca="false">E82/Hypothèses!$C$30*Hypothèses!$E$62*Hypothèses!$C$31*12</f>
        <v>39255000</v>
      </c>
      <c r="F90" s="34" t="n">
        <f aca="false">F82/Hypothèses!$C$30*Hypothèses!$E$62*Hypothèses!$C$31*12</f>
        <v>75060000</v>
      </c>
      <c r="G90" s="34" t="n">
        <f aca="false">G82/Hypothèses!$C$30*Hypothèses!$E$62*Hypothèses!$C$31*12</f>
        <v>131985000</v>
      </c>
      <c r="H90" s="7" t="s">
        <v>183</v>
      </c>
    </row>
    <row r="91" customFormat="false" ht="15" hidden="false" customHeight="false" outlineLevel="0" collapsed="false">
      <c r="A91" s="6" t="s">
        <v>184</v>
      </c>
      <c r="B91" s="6" t="s">
        <v>160</v>
      </c>
      <c r="C91" s="34" t="n">
        <f aca="false">C82*Hypothèses!$E$63*Hypothèses!$C$32*12</f>
        <v>2322000</v>
      </c>
      <c r="D91" s="34" t="n">
        <f aca="false">D82*Hypothèses!$E$63*Hypothèses!$C$32*12</f>
        <v>8901000</v>
      </c>
      <c r="E91" s="34" t="n">
        <f aca="false">E82*Hypothèses!$E$63*Hypothèses!$C$32*12</f>
        <v>23553000</v>
      </c>
      <c r="F91" s="34" t="n">
        <f aca="false">F82*Hypothèses!$E$63*Hypothèses!$C$32*12</f>
        <v>45036000</v>
      </c>
      <c r="G91" s="34" t="n">
        <f aca="false">G82*Hypothèses!$E$63*Hypothèses!$C$32*12</f>
        <v>79191000</v>
      </c>
    </row>
    <row r="92" customFormat="false" ht="15" hidden="false" customHeight="false" outlineLevel="0" collapsed="false">
      <c r="A92" s="6" t="s">
        <v>185</v>
      </c>
      <c r="B92" s="6" t="s">
        <v>160</v>
      </c>
      <c r="C92" s="34" t="n">
        <f aca="false">C82*Hypothèses!$C$33*Hypothèses!$C$34*Hypothèses!$E$64</f>
        <v>1857600</v>
      </c>
      <c r="D92" s="34" t="n">
        <f aca="false">D82*Hypothèses!$C$33*Hypothèses!$C$34*Hypothèses!$E$64</f>
        <v>7120800</v>
      </c>
      <c r="E92" s="34" t="n">
        <f aca="false">E82*Hypothèses!$C$33*Hypothèses!$C$34*Hypothèses!$E$64</f>
        <v>18842400</v>
      </c>
      <c r="F92" s="34" t="n">
        <f aca="false">F82*Hypothèses!$C$33*Hypothèses!$C$34*Hypothèses!$E$64</f>
        <v>36028800</v>
      </c>
      <c r="G92" s="34" t="n">
        <f aca="false">G82*Hypothèses!$C$33*Hypothèses!$C$34*Hypothèses!$E$64</f>
        <v>63352800</v>
      </c>
    </row>
    <row r="93" customFormat="false" ht="15" hidden="false" customHeight="false" outlineLevel="0" collapsed="false">
      <c r="A93" s="6" t="s">
        <v>186</v>
      </c>
      <c r="B93" s="6" t="s">
        <v>160</v>
      </c>
      <c r="C93" s="34" t="n">
        <f aca="false">C86*Hypothèses!$C$36*Hypothèses!$C$37</f>
        <v>0</v>
      </c>
      <c r="D93" s="34" t="n">
        <f aca="false">D86*Hypothèses!$C$36*Hypothèses!$C$37</f>
        <v>0</v>
      </c>
      <c r="E93" s="34" t="n">
        <f aca="false">E86*Hypothèses!$C$36*Hypothèses!$C$37</f>
        <v>0</v>
      </c>
      <c r="F93" s="34" t="n">
        <f aca="false">F86*Hypothèses!$C$36*Hypothèses!$C$37</f>
        <v>0</v>
      </c>
      <c r="G93" s="34" t="n">
        <f aca="false">G86*Hypothèses!$C$36*Hypothèses!$C$37</f>
        <v>0</v>
      </c>
    </row>
    <row r="94" customFormat="false" ht="15" hidden="false" customHeight="false" outlineLevel="0" collapsed="false">
      <c r="A94" s="6" t="s">
        <v>187</v>
      </c>
      <c r="B94" s="6" t="s">
        <v>160</v>
      </c>
      <c r="C94" s="34" t="n">
        <f aca="false">C82*Hypothèses!$C$41*Hypothèses!$C$42*Hypothèses!$C$43*Hypothèses!$E$66</f>
        <v>0</v>
      </c>
      <c r="D94" s="34" t="n">
        <f aca="false">D82*Hypothèses!$C$41*Hypothèses!$C$42*Hypothèses!$C$43*Hypothèses!$E$66</f>
        <v>0</v>
      </c>
      <c r="E94" s="34" t="n">
        <f aca="false">E82*Hypothèses!$C$41*Hypothèses!$C$42*Hypothèses!$C$43*Hypothèses!$E$66</f>
        <v>0</v>
      </c>
      <c r="F94" s="34" t="n">
        <f aca="false">F82*Hypothèses!$C$41*Hypothèses!$C$42*Hypothèses!$C$43*Hypothèses!$E$66</f>
        <v>0</v>
      </c>
      <c r="G94" s="34" t="n">
        <f aca="false">G82*Hypothèses!$C$41*Hypothèses!$C$42*Hypothèses!$C$43*Hypothèses!$E$66</f>
        <v>0</v>
      </c>
    </row>
    <row r="95" customFormat="false" ht="15" hidden="false" customHeight="false" outlineLevel="0" collapsed="false">
      <c r="A95" s="6" t="s">
        <v>188</v>
      </c>
      <c r="B95" s="6" t="s">
        <v>160</v>
      </c>
      <c r="C95" s="34" t="n">
        <f aca="false">C83*Hypothèses!$C$44*12</f>
        <v>0</v>
      </c>
      <c r="D95" s="34" t="n">
        <f aca="false">D83*Hypothèses!$C$44*12</f>
        <v>0</v>
      </c>
      <c r="E95" s="34" t="n">
        <f aca="false">E83*Hypothèses!$C$44*12</f>
        <v>0</v>
      </c>
      <c r="F95" s="34" t="n">
        <f aca="false">F83*Hypothèses!$C$44*12</f>
        <v>0</v>
      </c>
      <c r="G95" s="34" t="n">
        <f aca="false">G83*Hypothèses!$C$44*12</f>
        <v>0</v>
      </c>
    </row>
    <row r="96" customFormat="false" ht="15" hidden="false" customHeight="false" outlineLevel="0" collapsed="false">
      <c r="A96" s="6" t="s">
        <v>189</v>
      </c>
      <c r="B96" s="6" t="s">
        <v>160</v>
      </c>
      <c r="C96" s="34" t="n">
        <f aca="false">C83*Hypothèses!C$18*Hypothèses!$C$35*Hypothèses!$C$40</f>
        <v>0</v>
      </c>
      <c r="D96" s="34" t="n">
        <f aca="false">D83*Hypothèses!D$18*Hypothèses!$C$35*Hypothèses!$C$40</f>
        <v>0</v>
      </c>
      <c r="E96" s="34" t="n">
        <f aca="false">E83*Hypothèses!E$18*Hypothèses!$C$35*Hypothèses!$C$40</f>
        <v>0</v>
      </c>
      <c r="F96" s="34" t="n">
        <f aca="false">F83*Hypothèses!F$18*Hypothèses!$C$35*Hypothèses!$C$40</f>
        <v>0</v>
      </c>
      <c r="G96" s="34" t="n">
        <f aca="false">G83*Hypothèses!G$18*Hypothèses!$C$35*Hypothèses!$C$40</f>
        <v>0</v>
      </c>
    </row>
    <row r="97" customFormat="false" ht="15" hidden="false" customHeight="false" outlineLevel="0" collapsed="false">
      <c r="A97" s="12" t="s">
        <v>190</v>
      </c>
      <c r="B97" s="6" t="s">
        <v>160</v>
      </c>
      <c r="C97" s="36" t="n">
        <f aca="false">SUM(C88:C96)</f>
        <v>8049600</v>
      </c>
      <c r="D97" s="36" t="n">
        <f aca="false">SUM(D88:D96)</f>
        <v>30856800</v>
      </c>
      <c r="E97" s="36" t="n">
        <f aca="false">SUM(E88:E96)</f>
        <v>81650400</v>
      </c>
      <c r="F97" s="36" t="n">
        <f aca="false">SUM(F88:F96)</f>
        <v>156124800</v>
      </c>
      <c r="G97" s="36" t="n">
        <f aca="false">SUM(G88:G96)</f>
        <v>274528800</v>
      </c>
    </row>
    <row r="98" customFormat="false" ht="15" hidden="false" customHeight="false" outlineLevel="0" collapsed="false">
      <c r="A98" s="35" t="s">
        <v>191</v>
      </c>
    </row>
    <row r="99" customFormat="false" ht="15" hidden="false" customHeight="false" outlineLevel="0" collapsed="false">
      <c r="A99" s="6" t="s">
        <v>192</v>
      </c>
      <c r="B99" s="6" t="s">
        <v>160</v>
      </c>
      <c r="C99" s="34" t="n">
        <f aca="false">C85*(Hypothèses!$C$24+Hypothèses!$C$25)*(1-Hypothèses!$E$61)*(1-Hypothèses!$E$70)</f>
        <v>0</v>
      </c>
      <c r="D99" s="34" t="n">
        <f aca="false">D85*(Hypothèses!$C$24+Hypothèses!$C$25)*(1-Hypothèses!$E$61)*(1-Hypothèses!$E$70)</f>
        <v>0</v>
      </c>
      <c r="E99" s="34" t="n">
        <f aca="false">E85*(Hypothèses!$C$24+Hypothèses!$C$25)*(1-Hypothèses!$E$61)*(1-Hypothèses!$E$70)</f>
        <v>0</v>
      </c>
      <c r="F99" s="34" t="n">
        <f aca="false">F85*(Hypothèses!$C$24+Hypothèses!$C$25)*(1-Hypothèses!$E$61)*(1-Hypothèses!$E$70)</f>
        <v>0</v>
      </c>
      <c r="G99" s="34" t="n">
        <f aca="false">G85*(Hypothèses!$C$24+Hypothèses!$C$25)*(1-Hypothèses!$E$61)*(1-Hypothèses!$E$70)</f>
        <v>0</v>
      </c>
      <c r="H99" s="7" t="s">
        <v>193</v>
      </c>
    </row>
    <row r="100" customFormat="false" ht="15" hidden="false" customHeight="false" outlineLevel="0" collapsed="false">
      <c r="A100" s="6" t="s">
        <v>194</v>
      </c>
      <c r="B100" s="6" t="s">
        <v>160</v>
      </c>
      <c r="C100" s="34" t="n">
        <f aca="false">(C82+0.5*C83)*(Hypothèses!$C$26+Hypothèses!$C$27)</f>
        <v>2089800</v>
      </c>
      <c r="D100" s="34" t="n">
        <f aca="false">(D82+0.5*D83)*(Hypothèses!$C$26+Hypothèses!$C$27)</f>
        <v>8010900</v>
      </c>
      <c r="E100" s="34" t="n">
        <f aca="false">(E82+0.5*E83)*(Hypothèses!$C$26+Hypothèses!$C$27)</f>
        <v>21197700</v>
      </c>
      <c r="F100" s="34" t="n">
        <f aca="false">(F82+0.5*F83)*(Hypothèses!$C$26+Hypothèses!$C$27)</f>
        <v>40532400</v>
      </c>
      <c r="G100" s="34" t="n">
        <f aca="false">(G82+0.5*G83)*(Hypothèses!$C$26+Hypothèses!$C$27)</f>
        <v>71271900</v>
      </c>
      <c r="H100" s="7" t="s">
        <v>195</v>
      </c>
    </row>
    <row r="101" customFormat="false" ht="15" hidden="false" customHeight="false" outlineLevel="0" collapsed="false">
      <c r="A101" s="6" t="s">
        <v>196</v>
      </c>
      <c r="B101" s="6" t="s">
        <v>160</v>
      </c>
      <c r="C101" s="34" t="n">
        <f aca="false">C82*Hypothèses!$C$29*Hypothèses!$C$28</f>
        <v>967500</v>
      </c>
      <c r="D101" s="34" t="n">
        <f aca="false">MAX(0,D82-C82)*Hypothèses!$C$29*Hypothèses!$C$28</f>
        <v>2741250</v>
      </c>
      <c r="E101" s="34" t="n">
        <f aca="false">MAX(0,E82-D82)*Hypothèses!$C$29*Hypothèses!$C$28</f>
        <v>6105000</v>
      </c>
      <c r="F101" s="34" t="n">
        <f aca="false">MAX(0,F82-E82)*Hypothèses!$C$29*Hypothèses!$C$28</f>
        <v>8951250</v>
      </c>
      <c r="G101" s="34" t="n">
        <f aca="false">MAX(0,G82-F82)*Hypothèses!$C$29*Hypothèses!$C$28</f>
        <v>14231250</v>
      </c>
    </row>
    <row r="102" customFormat="false" ht="15" hidden="false" customHeight="false" outlineLevel="0" collapsed="false">
      <c r="A102" s="6" t="s">
        <v>197</v>
      </c>
      <c r="B102" s="6" t="s">
        <v>160</v>
      </c>
      <c r="C102" s="34" t="n">
        <f aca="false">C86*Hypothèses!$C$38*Hypothèses!$C$39</f>
        <v>0</v>
      </c>
      <c r="D102" s="34" t="n">
        <f aca="false">D86*Hypothèses!$C$38*Hypothèses!$C$39</f>
        <v>0</v>
      </c>
      <c r="E102" s="34" t="n">
        <f aca="false">E86*Hypothèses!$C$38*Hypothèses!$C$39</f>
        <v>0</v>
      </c>
      <c r="F102" s="34" t="n">
        <f aca="false">F86*Hypothèses!$C$38*Hypothèses!$C$39</f>
        <v>0</v>
      </c>
      <c r="G102" s="34" t="n">
        <f aca="false">G86*Hypothèses!$C$38*Hypothèses!$C$39</f>
        <v>0</v>
      </c>
    </row>
    <row r="103" customFormat="false" ht="15" hidden="false" customHeight="false" outlineLevel="0" collapsed="false">
      <c r="A103" s="6" t="s">
        <v>198</v>
      </c>
      <c r="B103" s="6" t="s">
        <v>160</v>
      </c>
      <c r="C103" s="34" t="n">
        <f aca="false">C82*Hypothèses!$E$68+C83*Hypothèses!$E$69</f>
        <v>10836000</v>
      </c>
      <c r="D103" s="34" t="n">
        <f aca="false">MAX(0,D82-C82)*Hypothèses!$E$68+MAX(0,D83-C83)*Hypothèses!$E$69</f>
        <v>30702000</v>
      </c>
      <c r="E103" s="34" t="n">
        <f aca="false">MAX(0,E82-D82)*Hypothèses!$E$68+MAX(0,E83-D83)*Hypothèses!$E$69</f>
        <v>68376000</v>
      </c>
      <c r="F103" s="34" t="n">
        <f aca="false">MAX(0,F82-E82)*Hypothèses!$E$68+MAX(0,F83-E83)*Hypothèses!$E$69</f>
        <v>100254000</v>
      </c>
      <c r="G103" s="34" t="n">
        <f aca="false">MAX(0,G82-F82)*Hypothèses!$E$68+MAX(0,G83-F83)*Hypothèses!$E$69</f>
        <v>159390000</v>
      </c>
      <c r="H103" s="7" t="s">
        <v>199</v>
      </c>
    </row>
    <row r="104" customFormat="false" ht="15" hidden="false" customHeight="false" outlineLevel="0" collapsed="false">
      <c r="A104" s="12" t="s">
        <v>200</v>
      </c>
      <c r="B104" s="6" t="s">
        <v>160</v>
      </c>
      <c r="C104" s="36" t="n">
        <f aca="false">SUM(C99:C103)</f>
        <v>13893300</v>
      </c>
      <c r="D104" s="36" t="n">
        <f aca="false">SUM(D99:D103)</f>
        <v>41454150</v>
      </c>
      <c r="E104" s="36" t="n">
        <f aca="false">SUM(E99:E103)</f>
        <v>95678700</v>
      </c>
      <c r="F104" s="36" t="n">
        <f aca="false">SUM(F99:F103)</f>
        <v>149737650</v>
      </c>
      <c r="G104" s="36" t="n">
        <f aca="false">SUM(G99:G103)</f>
        <v>244893150</v>
      </c>
    </row>
    <row r="105" customFormat="false" ht="15" hidden="false" customHeight="false" outlineLevel="0" collapsed="false">
      <c r="A105" s="12" t="s">
        <v>201</v>
      </c>
      <c r="B105" s="6" t="s">
        <v>160</v>
      </c>
      <c r="C105" s="36" t="n">
        <f aca="false">C97-C104</f>
        <v>-5843700</v>
      </c>
      <c r="D105" s="36" t="n">
        <f aca="false">D97-D104</f>
        <v>-10597350</v>
      </c>
      <c r="E105" s="36" t="n">
        <f aca="false">E97-E104</f>
        <v>-14028300</v>
      </c>
      <c r="F105" s="36" t="n">
        <f aca="false">F97-F104</f>
        <v>6387150.00000003</v>
      </c>
      <c r="G105" s="36" t="n">
        <f aca="false">G97-G104</f>
        <v>29635650</v>
      </c>
    </row>
    <row r="106" customFormat="false" ht="15" hidden="false" customHeight="false" outlineLevel="0" collapsed="false">
      <c r="A106" s="35" t="s">
        <v>202</v>
      </c>
    </row>
    <row r="107" customFormat="false" ht="15" hidden="false" customHeight="false" outlineLevel="0" collapsed="false">
      <c r="A107" s="6" t="s">
        <v>203</v>
      </c>
      <c r="B107" s="6" t="s">
        <v>160</v>
      </c>
      <c r="C107" s="34" t="n">
        <f aca="false">(Hypothèses!C$20*Hypothèses!$C$46+Hypothèses!$C$49)*(1-Hypothèses!$E$72)</f>
        <v>88000000</v>
      </c>
      <c r="D107" s="34" t="n">
        <f aca="false">(Hypothèses!D$20*Hypothèses!$C$46+Hypothèses!$C$49)*(1-Hypothèses!$E$72)</f>
        <v>112000000</v>
      </c>
      <c r="E107" s="34" t="n">
        <f aca="false">(Hypothèses!E$20*Hypothèses!$C$46+Hypothèses!$C$49)*(1-Hypothèses!$E$72)</f>
        <v>136000000</v>
      </c>
      <c r="F107" s="34" t="n">
        <f aca="false">(Hypothèses!F$20*Hypothèses!$C$46+Hypothèses!$C$49)*(1-Hypothèses!$E$72)</f>
        <v>160000000</v>
      </c>
      <c r="G107" s="34" t="n">
        <f aca="false">(Hypothèses!G$20*Hypothèses!$C$46+Hypothèses!$C$49)*(1-Hypothèses!$E$72)</f>
        <v>184000000</v>
      </c>
    </row>
    <row r="108" customFormat="false" ht="15" hidden="false" customHeight="false" outlineLevel="0" collapsed="false">
      <c r="A108" s="6" t="s">
        <v>204</v>
      </c>
      <c r="B108" s="6" t="s">
        <v>160</v>
      </c>
      <c r="C108" s="34" t="n">
        <f aca="false">Déploiement!C$39*(Hypothèses!$C$47+Hypothèses!$C$48)*Hypothèses!$E$58+Déploiement!C$39*Hypothèses!$C$47*0.5*(1-Hypothèses!$E$58)</f>
        <v>57000000</v>
      </c>
      <c r="D108" s="34" t="n">
        <f aca="false">Déploiement!D$39*(Hypothèses!$C$47+Hypothèses!$C$48)*Hypothèses!$E$58+Déploiement!D$39*Hypothèses!$C$47*0.5*(1-Hypothèses!$E$58)</f>
        <v>57000000</v>
      </c>
      <c r="E108" s="34" t="n">
        <f aca="false">Déploiement!E$39*(Hypothèses!$C$47+Hypothèses!$C$48)*Hypothèses!$E$58+Déploiement!E$39*Hypothèses!$C$47*0.5*(1-Hypothèses!$E$58)</f>
        <v>114000000</v>
      </c>
      <c r="F108" s="34" t="n">
        <f aca="false">Déploiement!F$39*(Hypothèses!$C$47+Hypothèses!$C$48)*Hypothèses!$E$58+Déploiement!F$39*Hypothèses!$C$47*0.5*(1-Hypothèses!$E$58)</f>
        <v>171000000</v>
      </c>
      <c r="G108" s="34" t="n">
        <f aca="false">Déploiement!G$39*(Hypothèses!$C$47+Hypothèses!$C$48)*Hypothèses!$E$58+Déploiement!G$39*Hypothèses!$C$47*0.5*(1-Hypothèses!$E$58)</f>
        <v>285000000</v>
      </c>
      <c r="H108" s="7" t="s">
        <v>205</v>
      </c>
    </row>
    <row r="109" customFormat="false" ht="15" hidden="false" customHeight="false" outlineLevel="0" collapsed="false">
      <c r="A109" s="6" t="s">
        <v>206</v>
      </c>
      <c r="B109" s="6" t="s">
        <v>160</v>
      </c>
      <c r="C109" s="34" t="n">
        <f aca="false">Hypothèses!$C$50*Hypothèses!C$21*Hypothèses!$E$65+Hypothèses!$C$51*IF(Hypothèses!$E$67&gt;0,1,0)</f>
        <v>0</v>
      </c>
      <c r="D109" s="34" t="n">
        <f aca="false">Hypothèses!$C$50*Hypothèses!D$21*Hypothèses!$E$65+Hypothèses!$C$51*IF(Hypothèses!$E$67&gt;0,1,0)</f>
        <v>0</v>
      </c>
      <c r="E109" s="34" t="n">
        <f aca="false">Hypothèses!$C$50*Hypothèses!E$21*Hypothèses!$E$65+Hypothèses!$C$51*IF(Hypothèses!$E$67&gt;0,1,0)</f>
        <v>0</v>
      </c>
      <c r="F109" s="34" t="n">
        <f aca="false">Hypothèses!$C$50*Hypothèses!F$21*Hypothèses!$E$65+Hypothèses!$C$51*IF(Hypothèses!$E$67&gt;0,1,0)</f>
        <v>0</v>
      </c>
      <c r="G109" s="34" t="n">
        <f aca="false">Hypothèses!$C$50*Hypothèses!G$21*Hypothèses!$E$65+Hypothèses!$C$51*IF(Hypothèses!$E$67&gt;0,1,0)</f>
        <v>0</v>
      </c>
    </row>
    <row r="110" customFormat="false" ht="15" hidden="false" customHeight="false" outlineLevel="0" collapsed="false">
      <c r="A110" s="12" t="s">
        <v>207</v>
      </c>
      <c r="B110" s="6" t="s">
        <v>160</v>
      </c>
      <c r="C110" s="36" t="n">
        <f aca="false">SUM(C107:C109)</f>
        <v>145000000</v>
      </c>
      <c r="D110" s="36" t="n">
        <f aca="false">SUM(D107:D109)</f>
        <v>169000000</v>
      </c>
      <c r="E110" s="36" t="n">
        <f aca="false">SUM(E107:E109)</f>
        <v>250000000</v>
      </c>
      <c r="F110" s="36" t="n">
        <f aca="false">SUM(F107:F109)</f>
        <v>331000000</v>
      </c>
      <c r="G110" s="36" t="n">
        <f aca="false">SUM(G107:G109)</f>
        <v>469000000</v>
      </c>
    </row>
    <row r="111" customFormat="false" ht="15" hidden="false" customHeight="false" outlineLevel="0" collapsed="false">
      <c r="A111" s="35" t="s">
        <v>208</v>
      </c>
    </row>
    <row r="112" customFormat="false" ht="15" hidden="false" customHeight="false" outlineLevel="0" collapsed="false">
      <c r="A112" s="12" t="s">
        <v>209</v>
      </c>
      <c r="B112" s="6" t="s">
        <v>160</v>
      </c>
      <c r="C112" s="36" t="n">
        <f aca="false">C105-C110</f>
        <v>-150843700</v>
      </c>
      <c r="D112" s="36" t="n">
        <f aca="false">D105-D110</f>
        <v>-179597350</v>
      </c>
      <c r="E112" s="36" t="n">
        <f aca="false">E105-E110</f>
        <v>-264028300</v>
      </c>
      <c r="F112" s="36" t="n">
        <f aca="false">F105-F110</f>
        <v>-324612850</v>
      </c>
      <c r="G112" s="36" t="n">
        <f aca="false">G105-G110</f>
        <v>-439364350</v>
      </c>
    </row>
    <row r="113" customFormat="false" ht="15" hidden="false" customHeight="false" outlineLevel="0" collapsed="false">
      <c r="A113" s="6" t="s">
        <v>210</v>
      </c>
      <c r="B113" s="6" t="s">
        <v>160</v>
      </c>
      <c r="C113" s="34" t="n">
        <f aca="false">MAX(0,C112-Hypothèses!$C$52/3*IF(0&lt;3,1,0))*Hypothèses!$C$53</f>
        <v>0</v>
      </c>
      <c r="D113" s="34" t="n">
        <f aca="false">MAX(0,D112-Hypothèses!$C$52/3*IF(1&lt;3,1,0))*Hypothèses!$C$53</f>
        <v>0</v>
      </c>
      <c r="E113" s="34" t="n">
        <f aca="false">MAX(0,E112-Hypothèses!$C$52/3*IF(2&lt;3,1,0))*Hypothèses!$C$53</f>
        <v>0</v>
      </c>
      <c r="F113" s="34" t="n">
        <f aca="false">MAX(0,F112-Hypothèses!$C$52/3*IF(3&lt;3,1,0))*Hypothèses!$C$53</f>
        <v>0</v>
      </c>
      <c r="G113" s="34" t="n">
        <f aca="false">MAX(0,G112-Hypothèses!$C$52/3*IF(4&lt;3,1,0))*Hypothèses!$C$53</f>
        <v>0</v>
      </c>
    </row>
    <row r="114" customFormat="false" ht="15" hidden="false" customHeight="false" outlineLevel="0" collapsed="false">
      <c r="A114" s="6" t="s">
        <v>211</v>
      </c>
      <c r="B114" s="6" t="s">
        <v>160</v>
      </c>
      <c r="C114" s="34" t="n">
        <f aca="false">C112-C113-IF(0=0,Hypothèses!$C$52,0)</f>
        <v>-195843700</v>
      </c>
      <c r="D114" s="34" t="n">
        <f aca="false">D112-D113-IF(1=0,Hypothèses!$C$52,0)</f>
        <v>-179597350</v>
      </c>
      <c r="E114" s="34" t="n">
        <f aca="false">E112-E113-IF(2=0,Hypothèses!$C$52,0)</f>
        <v>-264028300</v>
      </c>
      <c r="F114" s="34" t="n">
        <f aca="false">F112-F113-IF(3=0,Hypothèses!$C$52,0)</f>
        <v>-324612850</v>
      </c>
      <c r="G114" s="34" t="n">
        <f aca="false">G112-G113-IF(4=0,Hypothèses!$C$52,0)</f>
        <v>-439364350</v>
      </c>
    </row>
    <row r="115" customFormat="false" ht="15" hidden="false" customHeight="false" outlineLevel="0" collapsed="false">
      <c r="A115" s="12" t="s">
        <v>212</v>
      </c>
      <c r="B115" s="6" t="s">
        <v>160</v>
      </c>
      <c r="C115" s="36" t="n">
        <f aca="false">C114</f>
        <v>-195843700</v>
      </c>
      <c r="D115" s="36" t="n">
        <f aca="false">C115+D114</f>
        <v>-375441050</v>
      </c>
      <c r="E115" s="36" t="n">
        <f aca="false">D115+E114</f>
        <v>-639469350</v>
      </c>
      <c r="F115" s="36" t="n">
        <f aca="false">E115+F114</f>
        <v>-964082200</v>
      </c>
      <c r="G115" s="36" t="n">
        <f aca="false">F115+G114</f>
        <v>-1403446550</v>
      </c>
    </row>
    <row r="116" customFormat="false" ht="15" hidden="false" customHeight="false" outlineLevel="0" collapsed="false">
      <c r="A116" s="6" t="s">
        <v>213</v>
      </c>
      <c r="B116" s="6" t="s">
        <v>214</v>
      </c>
      <c r="C116" s="37" t="n">
        <f aca="false">IF(C112&gt;0,1,0)</f>
        <v>0</v>
      </c>
      <c r="D116" s="37" t="n">
        <f aca="false">IF(D112&gt;0,1,0)</f>
        <v>0</v>
      </c>
      <c r="E116" s="37" t="n">
        <f aca="false">IF(E112&gt;0,1,0)</f>
        <v>0</v>
      </c>
      <c r="F116" s="37" t="n">
        <f aca="false">IF(F112&gt;0,1,0)</f>
        <v>0</v>
      </c>
      <c r="G116" s="37" t="n">
        <f aca="false">IF(G112&gt;0,1,0)</f>
        <v>0</v>
      </c>
    </row>
    <row r="117" customFormat="false" ht="15" hidden="false" customHeight="false" outlineLevel="0" collapsed="false">
      <c r="A117" s="6" t="s">
        <v>215</v>
      </c>
      <c r="B117" s="6" t="s">
        <v>80</v>
      </c>
      <c r="C117" s="33" t="n">
        <f aca="false">IF((C82+C83)=0,0,(C105+C103)/(C82+C83))</f>
        <v>645</v>
      </c>
      <c r="D117" s="33" t="n">
        <f aca="false">IF((D82+D83)=0,0,(D105+D103)/(D82+D83))</f>
        <v>677.608695652174</v>
      </c>
      <c r="E117" s="33" t="n">
        <f aca="false">IF((E82+E83)=0,0,(E105+E103)/(E82+E83))</f>
        <v>692.23920519679</v>
      </c>
      <c r="F117" s="33" t="n">
        <f aca="false">IF((F82+F83)=0,0,(F105+F103)/(F82+F83))</f>
        <v>710.372701838529</v>
      </c>
      <c r="G117" s="33" t="n">
        <f aca="false">IF((G82+G83)=0,0,(G105+G103)/(G82+G83))</f>
        <v>716.08762359359</v>
      </c>
      <c r="H117" s="7" t="s">
        <v>216</v>
      </c>
    </row>
    <row r="119" customFormat="false" ht="15" hidden="false" customHeight="false" outlineLevel="0" collapsed="false">
      <c r="A119" s="15" t="s">
        <v>219</v>
      </c>
      <c r="B119" s="16"/>
      <c r="C119" s="16"/>
      <c r="D119" s="16"/>
      <c r="E119" s="16"/>
      <c r="F119" s="16"/>
      <c r="G119" s="16"/>
      <c r="H119" s="16"/>
    </row>
    <row r="120" customFormat="false" ht="15" hidden="false" customHeight="false" outlineLevel="0" collapsed="false">
      <c r="A120" s="6" t="s">
        <v>163</v>
      </c>
      <c r="B120" s="6" t="s">
        <v>68</v>
      </c>
      <c r="C120" s="33" t="n">
        <f aca="false">Déploiement!C$36*Hypothèses!$F$58</f>
        <v>7740</v>
      </c>
      <c r="D120" s="33" t="n">
        <f aca="false">Déploiement!D$36*Hypothèses!$F$58</f>
        <v>29670</v>
      </c>
      <c r="E120" s="33" t="n">
        <f aca="false">Déploiement!E$36*Hypothèses!$F$58</f>
        <v>78510</v>
      </c>
      <c r="F120" s="33" t="n">
        <f aca="false">Déploiement!F$36*Hypothèses!$F$58</f>
        <v>150120</v>
      </c>
      <c r="G120" s="33" t="n">
        <f aca="false">Déploiement!G$36*Hypothèses!$F$58</f>
        <v>263970</v>
      </c>
    </row>
    <row r="121" customFormat="false" ht="15" hidden="false" customHeight="false" outlineLevel="0" collapsed="false">
      <c r="A121" s="6" t="s">
        <v>175</v>
      </c>
      <c r="B121" s="6" t="s">
        <v>68</v>
      </c>
      <c r="C121" s="33" t="n">
        <f aca="false">Déploiement!C$40*Hypothèses!$F$67</f>
        <v>0</v>
      </c>
      <c r="D121" s="33" t="n">
        <f aca="false">Déploiement!D$40*Hypothèses!$F$67</f>
        <v>0</v>
      </c>
      <c r="E121" s="33" t="n">
        <f aca="false">Déploiement!E$40*Hypothèses!$F$67</f>
        <v>0</v>
      </c>
      <c r="F121" s="33" t="n">
        <f aca="false">Déploiement!F$40*Hypothèses!$F$67</f>
        <v>0</v>
      </c>
      <c r="G121" s="33" t="n">
        <f aca="false">Déploiement!G$40*Hypothèses!$F$67</f>
        <v>0</v>
      </c>
    </row>
    <row r="122" customFormat="false" ht="15" hidden="false" customHeight="false" outlineLevel="0" collapsed="false">
      <c r="A122" s="6" t="s">
        <v>165</v>
      </c>
      <c r="B122" s="6" t="s">
        <v>160</v>
      </c>
      <c r="C122" s="34" t="n">
        <f aca="false">Déploiement!C$38*Hypothèses!$F$58</f>
        <v>1161000000</v>
      </c>
      <c r="D122" s="34" t="n">
        <f aca="false">Déploiement!D$38*Hypothèses!$F$58</f>
        <v>4450500000</v>
      </c>
      <c r="E122" s="34" t="n">
        <f aca="false">Déploiement!E$38*Hypothèses!$F$58</f>
        <v>12456900000</v>
      </c>
      <c r="F122" s="34" t="n">
        <f aca="false">Déploiement!F$38*Hypothèses!$F$58</f>
        <v>25126200000</v>
      </c>
      <c r="G122" s="34" t="n">
        <f aca="false">Déploiement!G$38*Hypothèses!$F$58</f>
        <v>45981000000</v>
      </c>
    </row>
    <row r="123" customFormat="false" ht="15" hidden="false" customHeight="false" outlineLevel="0" collapsed="false">
      <c r="A123" s="6" t="s">
        <v>176</v>
      </c>
      <c r="B123" s="6" t="s">
        <v>160</v>
      </c>
      <c r="C123" s="34" t="n">
        <f aca="false">C122*(1-MIN(0.9,Hypothèses!C$17+Hypothèses!$F$71))</f>
        <v>986850000</v>
      </c>
      <c r="D123" s="34" t="n">
        <f aca="false">D122*(1-MIN(0.9,Hypothèses!D$17+Hypothèses!$F$71))</f>
        <v>3337875000</v>
      </c>
      <c r="E123" s="34" t="n">
        <f aca="false">E122*(1-MIN(0.9,Hypothèses!E$17+Hypothèses!$F$71))</f>
        <v>8719830000</v>
      </c>
      <c r="F123" s="34" t="n">
        <f aca="false">F122*(1-MIN(0.9,Hypothèses!F$17+Hypothèses!$F$71))</f>
        <v>16332030000</v>
      </c>
      <c r="G123" s="34" t="n">
        <f aca="false">G122*(1-MIN(0.9,Hypothèses!G$17+Hypothèses!$F$71))</f>
        <v>27588600000</v>
      </c>
      <c r="H123" s="7" t="s">
        <v>177</v>
      </c>
    </row>
    <row r="124" customFormat="false" ht="15" hidden="false" customHeight="false" outlineLevel="0" collapsed="false">
      <c r="A124" s="6" t="s">
        <v>178</v>
      </c>
      <c r="B124" s="6" t="s">
        <v>160</v>
      </c>
      <c r="C124" s="34" t="n">
        <f aca="false">C120*Hypothèses!C$18*Hypothèses!$C$35*Hypothèses!$F$65</f>
        <v>11610000</v>
      </c>
      <c r="D124" s="34" t="n">
        <f aca="false">D120*Hypothèses!D$18*Hypothèses!$C$35*Hypothèses!$F$65</f>
        <v>89010000</v>
      </c>
      <c r="E124" s="34" t="n">
        <f aca="false">E120*Hypothèses!E$18*Hypothèses!$C$35*Hypothèses!$F$65</f>
        <v>392550000</v>
      </c>
      <c r="F124" s="34" t="n">
        <f aca="false">F120*Hypothèses!F$18*Hypothèses!$C$35*Hypothèses!$F$65</f>
        <v>900720000</v>
      </c>
      <c r="G124" s="34" t="n">
        <f aca="false">G120*Hypothèses!G$18*Hypothèses!$C$35*Hypothèses!$F$65</f>
        <v>1847790000</v>
      </c>
    </row>
    <row r="125" customFormat="false" ht="15" hidden="false" customHeight="false" outlineLevel="0" collapsed="false">
      <c r="A125" s="35" t="s">
        <v>179</v>
      </c>
    </row>
    <row r="126" customFormat="false" ht="15" hidden="false" customHeight="false" outlineLevel="0" collapsed="false">
      <c r="A126" s="6" t="s">
        <v>180</v>
      </c>
      <c r="B126" s="6" t="s">
        <v>160</v>
      </c>
      <c r="C126" s="34" t="n">
        <f aca="false">C122*Hypothèses!$F$59</f>
        <v>11610000</v>
      </c>
      <c r="D126" s="34" t="n">
        <f aca="false">D122*Hypothèses!$F$59</f>
        <v>44505000</v>
      </c>
      <c r="E126" s="34" t="n">
        <f aca="false">E122*Hypothèses!$F$59</f>
        <v>124569000</v>
      </c>
      <c r="F126" s="34" t="n">
        <f aca="false">F122*Hypothèses!$F$59</f>
        <v>251262000</v>
      </c>
      <c r="G126" s="34" t="n">
        <f aca="false">G122*Hypothèses!$F$59</f>
        <v>459810000</v>
      </c>
    </row>
    <row r="127" customFormat="false" ht="15" hidden="false" customHeight="false" outlineLevel="0" collapsed="false">
      <c r="A127" s="6" t="s">
        <v>181</v>
      </c>
      <c r="B127" s="6" t="s">
        <v>160</v>
      </c>
      <c r="C127" s="34" t="n">
        <f aca="false">C123*Hypothèses!$F$60</f>
        <v>9868500</v>
      </c>
      <c r="D127" s="34" t="n">
        <f aca="false">D123*Hypothèses!$F$60</f>
        <v>33378750</v>
      </c>
      <c r="E127" s="34" t="n">
        <f aca="false">E123*Hypothèses!$F$60</f>
        <v>87198300</v>
      </c>
      <c r="F127" s="34" t="n">
        <f aca="false">F123*Hypothèses!$F$60</f>
        <v>163320300</v>
      </c>
      <c r="G127" s="34" t="n">
        <f aca="false">G123*Hypothèses!$F$60</f>
        <v>275886000</v>
      </c>
    </row>
    <row r="128" customFormat="false" ht="15" hidden="false" customHeight="false" outlineLevel="0" collapsed="false">
      <c r="A128" s="6" t="s">
        <v>182</v>
      </c>
      <c r="B128" s="6" t="s">
        <v>160</v>
      </c>
      <c r="C128" s="34" t="n">
        <f aca="false">C120/Hypothèses!$C$30*Hypothèses!$F$62*Hypothèses!$C$31*12</f>
        <v>0</v>
      </c>
      <c r="D128" s="34" t="n">
        <f aca="false">D120/Hypothèses!$C$30*Hypothèses!$F$62*Hypothèses!$C$31*12</f>
        <v>0</v>
      </c>
      <c r="E128" s="34" t="n">
        <f aca="false">E120/Hypothèses!$C$30*Hypothèses!$F$62*Hypothèses!$C$31*12</f>
        <v>0</v>
      </c>
      <c r="F128" s="34" t="n">
        <f aca="false">F120/Hypothèses!$C$30*Hypothèses!$F$62*Hypothèses!$C$31*12</f>
        <v>0</v>
      </c>
      <c r="G128" s="34" t="n">
        <f aca="false">G120/Hypothèses!$C$30*Hypothèses!$F$62*Hypothèses!$C$31*12</f>
        <v>0</v>
      </c>
      <c r="H128" s="7" t="s">
        <v>183</v>
      </c>
    </row>
    <row r="129" customFormat="false" ht="15" hidden="false" customHeight="false" outlineLevel="0" collapsed="false">
      <c r="A129" s="6" t="s">
        <v>184</v>
      </c>
      <c r="B129" s="6" t="s">
        <v>160</v>
      </c>
      <c r="C129" s="34" t="n">
        <f aca="false">C120*Hypothèses!$F$63*Hypothèses!$C$32*12</f>
        <v>0</v>
      </c>
      <c r="D129" s="34" t="n">
        <f aca="false">D120*Hypothèses!$F$63*Hypothèses!$C$32*12</f>
        <v>0</v>
      </c>
      <c r="E129" s="34" t="n">
        <f aca="false">E120*Hypothèses!$F$63*Hypothèses!$C$32*12</f>
        <v>0</v>
      </c>
      <c r="F129" s="34" t="n">
        <f aca="false">F120*Hypothèses!$F$63*Hypothèses!$C$32*12</f>
        <v>0</v>
      </c>
      <c r="G129" s="34" t="n">
        <f aca="false">G120*Hypothèses!$F$63*Hypothèses!$C$32*12</f>
        <v>0</v>
      </c>
    </row>
    <row r="130" customFormat="false" ht="15" hidden="false" customHeight="false" outlineLevel="0" collapsed="false">
      <c r="A130" s="6" t="s">
        <v>185</v>
      </c>
      <c r="B130" s="6" t="s">
        <v>160</v>
      </c>
      <c r="C130" s="34" t="n">
        <f aca="false">C120*Hypothèses!$C$33*Hypothèses!$C$34*Hypothèses!$F$64</f>
        <v>1857600</v>
      </c>
      <c r="D130" s="34" t="n">
        <f aca="false">D120*Hypothèses!$C$33*Hypothèses!$C$34*Hypothèses!$F$64</f>
        <v>7120800</v>
      </c>
      <c r="E130" s="34" t="n">
        <f aca="false">E120*Hypothèses!$C$33*Hypothèses!$C$34*Hypothèses!$F$64</f>
        <v>18842400</v>
      </c>
      <c r="F130" s="34" t="n">
        <f aca="false">F120*Hypothèses!$C$33*Hypothèses!$C$34*Hypothèses!$F$64</f>
        <v>36028800</v>
      </c>
      <c r="G130" s="34" t="n">
        <f aca="false">G120*Hypothèses!$C$33*Hypothèses!$C$34*Hypothèses!$F$64</f>
        <v>63352800</v>
      </c>
    </row>
    <row r="131" customFormat="false" ht="15" hidden="false" customHeight="false" outlineLevel="0" collapsed="false">
      <c r="A131" s="6" t="s">
        <v>186</v>
      </c>
      <c r="B131" s="6" t="s">
        <v>160</v>
      </c>
      <c r="C131" s="34" t="n">
        <f aca="false">C124*Hypothèses!$C$36*Hypothèses!$C$37</f>
        <v>208980</v>
      </c>
      <c r="D131" s="34" t="n">
        <f aca="false">D124*Hypothèses!$C$36*Hypothèses!$C$37</f>
        <v>1602180</v>
      </c>
      <c r="E131" s="34" t="n">
        <f aca="false">E124*Hypothèses!$C$36*Hypothèses!$C$37</f>
        <v>7065900</v>
      </c>
      <c r="F131" s="34" t="n">
        <f aca="false">F124*Hypothèses!$C$36*Hypothèses!$C$37</f>
        <v>16212960</v>
      </c>
      <c r="G131" s="34" t="n">
        <f aca="false">G124*Hypothèses!$C$36*Hypothèses!$C$37</f>
        <v>33260220</v>
      </c>
    </row>
    <row r="132" customFormat="false" ht="15" hidden="false" customHeight="false" outlineLevel="0" collapsed="false">
      <c r="A132" s="6" t="s">
        <v>187</v>
      </c>
      <c r="B132" s="6" t="s">
        <v>160</v>
      </c>
      <c r="C132" s="34" t="n">
        <f aca="false">C120*Hypothèses!$C$41*Hypothèses!$C$42*Hypothèses!$C$43*Hypothèses!$F$66</f>
        <v>464400</v>
      </c>
      <c r="D132" s="34" t="n">
        <f aca="false">D120*Hypothèses!$C$41*Hypothèses!$C$42*Hypothèses!$C$43*Hypothèses!$F$66</f>
        <v>1780200</v>
      </c>
      <c r="E132" s="34" t="n">
        <f aca="false">E120*Hypothèses!$C$41*Hypothèses!$C$42*Hypothèses!$C$43*Hypothèses!$F$66</f>
        <v>4710600</v>
      </c>
      <c r="F132" s="34" t="n">
        <f aca="false">F120*Hypothèses!$C$41*Hypothèses!$C$42*Hypothèses!$C$43*Hypothèses!$F$66</f>
        <v>9007200</v>
      </c>
      <c r="G132" s="34" t="n">
        <f aca="false">G120*Hypothèses!$C$41*Hypothèses!$C$42*Hypothèses!$C$43*Hypothèses!$F$66</f>
        <v>15838200</v>
      </c>
    </row>
    <row r="133" customFormat="false" ht="15" hidden="false" customHeight="false" outlineLevel="0" collapsed="false">
      <c r="A133" s="6" t="s">
        <v>188</v>
      </c>
      <c r="B133" s="6" t="s">
        <v>160</v>
      </c>
      <c r="C133" s="34" t="n">
        <f aca="false">C121*Hypothèses!$C$44*12</f>
        <v>0</v>
      </c>
      <c r="D133" s="34" t="n">
        <f aca="false">D121*Hypothèses!$C$44*12</f>
        <v>0</v>
      </c>
      <c r="E133" s="34" t="n">
        <f aca="false">E121*Hypothèses!$C$44*12</f>
        <v>0</v>
      </c>
      <c r="F133" s="34" t="n">
        <f aca="false">F121*Hypothèses!$C$44*12</f>
        <v>0</v>
      </c>
      <c r="G133" s="34" t="n">
        <f aca="false">G121*Hypothèses!$C$44*12</f>
        <v>0</v>
      </c>
    </row>
    <row r="134" customFormat="false" ht="15" hidden="false" customHeight="false" outlineLevel="0" collapsed="false">
      <c r="A134" s="6" t="s">
        <v>189</v>
      </c>
      <c r="B134" s="6" t="s">
        <v>160</v>
      </c>
      <c r="C134" s="34" t="n">
        <f aca="false">C121*Hypothèses!C$18*Hypothèses!$C$35*Hypothèses!$C$40</f>
        <v>0</v>
      </c>
      <c r="D134" s="34" t="n">
        <f aca="false">D121*Hypothèses!D$18*Hypothèses!$C$35*Hypothèses!$C$40</f>
        <v>0</v>
      </c>
      <c r="E134" s="34" t="n">
        <f aca="false">E121*Hypothèses!E$18*Hypothèses!$C$35*Hypothèses!$C$40</f>
        <v>0</v>
      </c>
      <c r="F134" s="34" t="n">
        <f aca="false">F121*Hypothèses!F$18*Hypothèses!$C$35*Hypothèses!$C$40</f>
        <v>0</v>
      </c>
      <c r="G134" s="34" t="n">
        <f aca="false">G121*Hypothèses!G$18*Hypothèses!$C$35*Hypothèses!$C$40</f>
        <v>0</v>
      </c>
    </row>
    <row r="135" customFormat="false" ht="15" hidden="false" customHeight="false" outlineLevel="0" collapsed="false">
      <c r="A135" s="12" t="s">
        <v>190</v>
      </c>
      <c r="B135" s="6" t="s">
        <v>160</v>
      </c>
      <c r="C135" s="36" t="n">
        <f aca="false">SUM(C126:C134)</f>
        <v>24009480</v>
      </c>
      <c r="D135" s="36" t="n">
        <f aca="false">SUM(D126:D134)</f>
        <v>88386930</v>
      </c>
      <c r="E135" s="36" t="n">
        <f aca="false">SUM(E126:E134)</f>
        <v>242386200</v>
      </c>
      <c r="F135" s="36" t="n">
        <f aca="false">SUM(F126:F134)</f>
        <v>475831260</v>
      </c>
      <c r="G135" s="36" t="n">
        <f aca="false">SUM(G126:G134)</f>
        <v>848147220</v>
      </c>
    </row>
    <row r="136" customFormat="false" ht="15" hidden="false" customHeight="false" outlineLevel="0" collapsed="false">
      <c r="A136" s="35" t="s">
        <v>191</v>
      </c>
    </row>
    <row r="137" customFormat="false" ht="15" hidden="false" customHeight="false" outlineLevel="0" collapsed="false">
      <c r="A137" s="6" t="s">
        <v>192</v>
      </c>
      <c r="B137" s="6" t="s">
        <v>160</v>
      </c>
      <c r="C137" s="34" t="n">
        <f aca="false">C123*(Hypothèses!$C$24+Hypothèses!$C$25)*(1-Hypothèses!$F$61)*(1-Hypothèses!$F$70)</f>
        <v>14802750</v>
      </c>
      <c r="D137" s="34" t="n">
        <f aca="false">D123*(Hypothèses!$C$24+Hypothèses!$C$25)*(1-Hypothèses!$F$61)*(1-Hypothèses!$F$70)</f>
        <v>50068125</v>
      </c>
      <c r="E137" s="34" t="n">
        <f aca="false">E123*(Hypothèses!$C$24+Hypothèses!$C$25)*(1-Hypothèses!$F$61)*(1-Hypothèses!$F$70)</f>
        <v>130797450</v>
      </c>
      <c r="F137" s="34" t="n">
        <f aca="false">F123*(Hypothèses!$C$24+Hypothèses!$C$25)*(1-Hypothèses!$F$61)*(1-Hypothèses!$F$70)</f>
        <v>244980450</v>
      </c>
      <c r="G137" s="34" t="n">
        <f aca="false">G123*(Hypothèses!$C$24+Hypothèses!$C$25)*(1-Hypothèses!$F$61)*(1-Hypothèses!$F$70)</f>
        <v>413829000</v>
      </c>
      <c r="H137" s="7" t="s">
        <v>193</v>
      </c>
    </row>
    <row r="138" customFormat="false" ht="15" hidden="false" customHeight="false" outlineLevel="0" collapsed="false">
      <c r="A138" s="6" t="s">
        <v>194</v>
      </c>
      <c r="B138" s="6" t="s">
        <v>160</v>
      </c>
      <c r="C138" s="34" t="n">
        <f aca="false">(C120+0.5*C121)*(Hypothèses!$C$26+Hypothèses!$C$27)</f>
        <v>2089800</v>
      </c>
      <c r="D138" s="34" t="n">
        <f aca="false">(D120+0.5*D121)*(Hypothèses!$C$26+Hypothèses!$C$27)</f>
        <v>8010900</v>
      </c>
      <c r="E138" s="34" t="n">
        <f aca="false">(E120+0.5*E121)*(Hypothèses!$C$26+Hypothèses!$C$27)</f>
        <v>21197700</v>
      </c>
      <c r="F138" s="34" t="n">
        <f aca="false">(F120+0.5*F121)*(Hypothèses!$C$26+Hypothèses!$C$27)</f>
        <v>40532400</v>
      </c>
      <c r="G138" s="34" t="n">
        <f aca="false">(G120+0.5*G121)*(Hypothèses!$C$26+Hypothèses!$C$27)</f>
        <v>71271900</v>
      </c>
      <c r="H138" s="7" t="s">
        <v>195</v>
      </c>
    </row>
    <row r="139" customFormat="false" ht="15" hidden="false" customHeight="false" outlineLevel="0" collapsed="false">
      <c r="A139" s="6" t="s">
        <v>196</v>
      </c>
      <c r="B139" s="6" t="s">
        <v>160</v>
      </c>
      <c r="C139" s="34" t="n">
        <f aca="false">C120*Hypothèses!$C$29*Hypothèses!$C$28</f>
        <v>967500</v>
      </c>
      <c r="D139" s="34" t="n">
        <f aca="false">MAX(0,D120-C120)*Hypothèses!$C$29*Hypothèses!$C$28</f>
        <v>2741250</v>
      </c>
      <c r="E139" s="34" t="n">
        <f aca="false">MAX(0,E120-D120)*Hypothèses!$C$29*Hypothèses!$C$28</f>
        <v>6105000</v>
      </c>
      <c r="F139" s="34" t="n">
        <f aca="false">MAX(0,F120-E120)*Hypothèses!$C$29*Hypothèses!$C$28</f>
        <v>8951250</v>
      </c>
      <c r="G139" s="34" t="n">
        <f aca="false">MAX(0,G120-F120)*Hypothèses!$C$29*Hypothèses!$C$28</f>
        <v>14231250</v>
      </c>
    </row>
    <row r="140" customFormat="false" ht="15" hidden="false" customHeight="false" outlineLevel="0" collapsed="false">
      <c r="A140" s="6" t="s">
        <v>197</v>
      </c>
      <c r="B140" s="6" t="s">
        <v>160</v>
      </c>
      <c r="C140" s="34" t="n">
        <f aca="false">C124*Hypothèses!$C$38*Hypothèses!$C$39</f>
        <v>174150</v>
      </c>
      <c r="D140" s="34" t="n">
        <f aca="false">D124*Hypothèses!$C$38*Hypothèses!$C$39</f>
        <v>1335150</v>
      </c>
      <c r="E140" s="34" t="n">
        <f aca="false">E124*Hypothèses!$C$38*Hypothèses!$C$39</f>
        <v>5888250</v>
      </c>
      <c r="F140" s="34" t="n">
        <f aca="false">F124*Hypothèses!$C$38*Hypothèses!$C$39</f>
        <v>13510800</v>
      </c>
      <c r="G140" s="34" t="n">
        <f aca="false">G124*Hypothèses!$C$38*Hypothèses!$C$39</f>
        <v>27716850</v>
      </c>
    </row>
    <row r="141" customFormat="false" ht="15" hidden="false" customHeight="false" outlineLevel="0" collapsed="false">
      <c r="A141" s="6" t="s">
        <v>198</v>
      </c>
      <c r="B141" s="6" t="s">
        <v>160</v>
      </c>
      <c r="C141" s="34" t="n">
        <f aca="false">C120*Hypothèses!$F$68+C121*Hypothèses!$F$69</f>
        <v>9288000</v>
      </c>
      <c r="D141" s="34" t="n">
        <f aca="false">MAX(0,D120-C120)*Hypothèses!$F$68+MAX(0,D121-C121)*Hypothèses!$F$69</f>
        <v>26316000</v>
      </c>
      <c r="E141" s="34" t="n">
        <f aca="false">MAX(0,E120-D120)*Hypothèses!$F$68+MAX(0,E121-D121)*Hypothèses!$F$69</f>
        <v>58608000</v>
      </c>
      <c r="F141" s="34" t="n">
        <f aca="false">MAX(0,F120-E120)*Hypothèses!$F$68+MAX(0,F121-E121)*Hypothèses!$F$69</f>
        <v>85932000</v>
      </c>
      <c r="G141" s="34" t="n">
        <f aca="false">MAX(0,G120-F120)*Hypothèses!$F$68+MAX(0,G121-F121)*Hypothèses!$F$69</f>
        <v>136620000</v>
      </c>
      <c r="H141" s="7" t="s">
        <v>199</v>
      </c>
    </row>
    <row r="142" customFormat="false" ht="15" hidden="false" customHeight="false" outlineLevel="0" collapsed="false">
      <c r="A142" s="12" t="s">
        <v>200</v>
      </c>
      <c r="B142" s="6" t="s">
        <v>160</v>
      </c>
      <c r="C142" s="36" t="n">
        <f aca="false">SUM(C137:C141)</f>
        <v>27322200</v>
      </c>
      <c r="D142" s="36" t="n">
        <f aca="false">SUM(D137:D141)</f>
        <v>88471425</v>
      </c>
      <c r="E142" s="36" t="n">
        <f aca="false">SUM(E137:E141)</f>
        <v>222596400</v>
      </c>
      <c r="F142" s="36" t="n">
        <f aca="false">SUM(F137:F141)</f>
        <v>393906900</v>
      </c>
      <c r="G142" s="36" t="n">
        <f aca="false">SUM(G137:G141)</f>
        <v>663669000</v>
      </c>
    </row>
    <row r="143" customFormat="false" ht="15" hidden="false" customHeight="false" outlineLevel="0" collapsed="false">
      <c r="A143" s="12" t="s">
        <v>201</v>
      </c>
      <c r="B143" s="6" t="s">
        <v>160</v>
      </c>
      <c r="C143" s="36" t="n">
        <f aca="false">C135-C142</f>
        <v>-3312720</v>
      </c>
      <c r="D143" s="36" t="n">
        <f aca="false">D135-D142</f>
        <v>-84495</v>
      </c>
      <c r="E143" s="36" t="n">
        <f aca="false">E135-E142</f>
        <v>19789800</v>
      </c>
      <c r="F143" s="36" t="n">
        <f aca="false">F135-F142</f>
        <v>81924360</v>
      </c>
      <c r="G143" s="36" t="n">
        <f aca="false">G135-G142</f>
        <v>184478220</v>
      </c>
    </row>
    <row r="144" customFormat="false" ht="15" hidden="false" customHeight="false" outlineLevel="0" collapsed="false">
      <c r="A144" s="35" t="s">
        <v>202</v>
      </c>
    </row>
    <row r="145" customFormat="false" ht="15" hidden="false" customHeight="false" outlineLevel="0" collapsed="false">
      <c r="A145" s="6" t="s">
        <v>203</v>
      </c>
      <c r="B145" s="6" t="s">
        <v>160</v>
      </c>
      <c r="C145" s="34" t="n">
        <f aca="false">(Hypothèses!C$20*Hypothèses!$C$46+Hypothèses!$C$49)*(1-Hypothèses!$F$72)</f>
        <v>88000000</v>
      </c>
      <c r="D145" s="34" t="n">
        <f aca="false">(Hypothèses!D$20*Hypothèses!$C$46+Hypothèses!$C$49)*(1-Hypothèses!$F$72)</f>
        <v>112000000</v>
      </c>
      <c r="E145" s="34" t="n">
        <f aca="false">(Hypothèses!E$20*Hypothèses!$C$46+Hypothèses!$C$49)*(1-Hypothèses!$F$72)</f>
        <v>136000000</v>
      </c>
      <c r="F145" s="34" t="n">
        <f aca="false">(Hypothèses!F$20*Hypothèses!$C$46+Hypothèses!$C$49)*(1-Hypothèses!$F$72)</f>
        <v>160000000</v>
      </c>
      <c r="G145" s="34" t="n">
        <f aca="false">(Hypothèses!G$20*Hypothèses!$C$46+Hypothèses!$C$49)*(1-Hypothèses!$F$72)</f>
        <v>184000000</v>
      </c>
    </row>
    <row r="146" customFormat="false" ht="15" hidden="false" customHeight="false" outlineLevel="0" collapsed="false">
      <c r="A146" s="6" t="s">
        <v>204</v>
      </c>
      <c r="B146" s="6" t="s">
        <v>160</v>
      </c>
      <c r="C146" s="34" t="n">
        <f aca="false">Déploiement!C$39*(Hypothèses!$C$47+Hypothèses!$C$48)*Hypothèses!$F$58+Déploiement!C$39*Hypothèses!$C$47*0.5*(1-Hypothèses!$F$58)</f>
        <v>57000000</v>
      </c>
      <c r="D146" s="34" t="n">
        <f aca="false">Déploiement!D$39*(Hypothèses!$C$47+Hypothèses!$C$48)*Hypothèses!$F$58+Déploiement!D$39*Hypothèses!$C$47*0.5*(1-Hypothèses!$F$58)</f>
        <v>57000000</v>
      </c>
      <c r="E146" s="34" t="n">
        <f aca="false">Déploiement!E$39*(Hypothèses!$C$47+Hypothèses!$C$48)*Hypothèses!$F$58+Déploiement!E$39*Hypothèses!$C$47*0.5*(1-Hypothèses!$F$58)</f>
        <v>114000000</v>
      </c>
      <c r="F146" s="34" t="n">
        <f aca="false">Déploiement!F$39*(Hypothèses!$C$47+Hypothèses!$C$48)*Hypothèses!$F$58+Déploiement!F$39*Hypothèses!$C$47*0.5*(1-Hypothèses!$F$58)</f>
        <v>171000000</v>
      </c>
      <c r="G146" s="34" t="n">
        <f aca="false">Déploiement!G$39*(Hypothèses!$C$47+Hypothèses!$C$48)*Hypothèses!$F$58+Déploiement!G$39*Hypothèses!$C$47*0.5*(1-Hypothèses!$F$58)</f>
        <v>285000000</v>
      </c>
      <c r="H146" s="7" t="s">
        <v>205</v>
      </c>
    </row>
    <row r="147" customFormat="false" ht="15" hidden="false" customHeight="false" outlineLevel="0" collapsed="false">
      <c r="A147" s="6" t="s">
        <v>206</v>
      </c>
      <c r="B147" s="6" t="s">
        <v>160</v>
      </c>
      <c r="C147" s="34" t="n">
        <f aca="false">Hypothèses!$C$50*Hypothèses!C$21*Hypothèses!$F$65+Hypothèses!$C$51*IF(Hypothèses!$F$67&gt;0,1,0)</f>
        <v>0</v>
      </c>
      <c r="D147" s="34" t="n">
        <f aca="false">Hypothèses!$C$50*Hypothèses!D$21*Hypothèses!$F$65+Hypothèses!$C$51*IF(Hypothèses!$F$67&gt;0,1,0)</f>
        <v>15000000</v>
      </c>
      <c r="E147" s="34" t="n">
        <f aca="false">Hypothèses!$C$50*Hypothèses!E$21*Hypothèses!$F$65+Hypothèses!$C$51*IF(Hypothèses!$F$67&gt;0,1,0)</f>
        <v>30000000</v>
      </c>
      <c r="F147" s="34" t="n">
        <f aca="false">Hypothèses!$C$50*Hypothèses!F$21*Hypothèses!$F$65+Hypothèses!$C$51*IF(Hypothèses!$F$67&gt;0,1,0)</f>
        <v>30000000</v>
      </c>
      <c r="G147" s="34" t="n">
        <f aca="false">Hypothèses!$C$50*Hypothèses!G$21*Hypothèses!$F$65+Hypothèses!$C$51*IF(Hypothèses!$F$67&gt;0,1,0)</f>
        <v>30000000</v>
      </c>
    </row>
    <row r="148" customFormat="false" ht="15" hidden="false" customHeight="false" outlineLevel="0" collapsed="false">
      <c r="A148" s="12" t="s">
        <v>207</v>
      </c>
      <c r="B148" s="6" t="s">
        <v>160</v>
      </c>
      <c r="C148" s="36" t="n">
        <f aca="false">SUM(C145:C147)</f>
        <v>145000000</v>
      </c>
      <c r="D148" s="36" t="n">
        <f aca="false">SUM(D145:D147)</f>
        <v>184000000</v>
      </c>
      <c r="E148" s="36" t="n">
        <f aca="false">SUM(E145:E147)</f>
        <v>280000000</v>
      </c>
      <c r="F148" s="36" t="n">
        <f aca="false">SUM(F145:F147)</f>
        <v>361000000</v>
      </c>
      <c r="G148" s="36" t="n">
        <f aca="false">SUM(G145:G147)</f>
        <v>499000000</v>
      </c>
    </row>
    <row r="149" customFormat="false" ht="15" hidden="false" customHeight="false" outlineLevel="0" collapsed="false">
      <c r="A149" s="35" t="s">
        <v>208</v>
      </c>
    </row>
    <row r="150" customFormat="false" ht="15" hidden="false" customHeight="false" outlineLevel="0" collapsed="false">
      <c r="A150" s="12" t="s">
        <v>209</v>
      </c>
      <c r="B150" s="6" t="s">
        <v>160</v>
      </c>
      <c r="C150" s="36" t="n">
        <f aca="false">C143-C148</f>
        <v>-148312720</v>
      </c>
      <c r="D150" s="36" t="n">
        <f aca="false">D143-D148</f>
        <v>-184084495</v>
      </c>
      <c r="E150" s="36" t="n">
        <f aca="false">E143-E148</f>
        <v>-260210200</v>
      </c>
      <c r="F150" s="36" t="n">
        <f aca="false">F143-F148</f>
        <v>-279075640</v>
      </c>
      <c r="G150" s="36" t="n">
        <f aca="false">G143-G148</f>
        <v>-314521780</v>
      </c>
    </row>
    <row r="151" customFormat="false" ht="15" hidden="false" customHeight="false" outlineLevel="0" collapsed="false">
      <c r="A151" s="6" t="s">
        <v>210</v>
      </c>
      <c r="B151" s="6" t="s">
        <v>160</v>
      </c>
      <c r="C151" s="34" t="n">
        <f aca="false">MAX(0,C150-Hypothèses!$C$52/3*IF(0&lt;3,1,0))*Hypothèses!$C$53</f>
        <v>0</v>
      </c>
      <c r="D151" s="34" t="n">
        <f aca="false">MAX(0,D150-Hypothèses!$C$52/3*IF(1&lt;3,1,0))*Hypothèses!$C$53</f>
        <v>0</v>
      </c>
      <c r="E151" s="34" t="n">
        <f aca="false">MAX(0,E150-Hypothèses!$C$52/3*IF(2&lt;3,1,0))*Hypothèses!$C$53</f>
        <v>0</v>
      </c>
      <c r="F151" s="34" t="n">
        <f aca="false">MAX(0,F150-Hypothèses!$C$52/3*IF(3&lt;3,1,0))*Hypothèses!$C$53</f>
        <v>0</v>
      </c>
      <c r="G151" s="34" t="n">
        <f aca="false">MAX(0,G150-Hypothèses!$C$52/3*IF(4&lt;3,1,0))*Hypothèses!$C$53</f>
        <v>0</v>
      </c>
    </row>
    <row r="152" customFormat="false" ht="15" hidden="false" customHeight="false" outlineLevel="0" collapsed="false">
      <c r="A152" s="6" t="s">
        <v>211</v>
      </c>
      <c r="B152" s="6" t="s">
        <v>160</v>
      </c>
      <c r="C152" s="34" t="n">
        <f aca="false">C150-C151-IF(0=0,Hypothèses!$C$52,0)</f>
        <v>-193312720</v>
      </c>
      <c r="D152" s="34" t="n">
        <f aca="false">D150-D151-IF(1=0,Hypothèses!$C$52,0)</f>
        <v>-184084495</v>
      </c>
      <c r="E152" s="34" t="n">
        <f aca="false">E150-E151-IF(2=0,Hypothèses!$C$52,0)</f>
        <v>-260210200</v>
      </c>
      <c r="F152" s="34" t="n">
        <f aca="false">F150-F151-IF(3=0,Hypothèses!$C$52,0)</f>
        <v>-279075640</v>
      </c>
      <c r="G152" s="34" t="n">
        <f aca="false">G150-G151-IF(4=0,Hypothèses!$C$52,0)</f>
        <v>-314521780</v>
      </c>
    </row>
    <row r="153" customFormat="false" ht="15" hidden="false" customHeight="false" outlineLevel="0" collapsed="false">
      <c r="A153" s="12" t="s">
        <v>212</v>
      </c>
      <c r="B153" s="6" t="s">
        <v>160</v>
      </c>
      <c r="C153" s="36" t="n">
        <f aca="false">C152</f>
        <v>-193312720</v>
      </c>
      <c r="D153" s="36" t="n">
        <f aca="false">C153+D152</f>
        <v>-377397215</v>
      </c>
      <c r="E153" s="36" t="n">
        <f aca="false">D153+E152</f>
        <v>-637607415</v>
      </c>
      <c r="F153" s="36" t="n">
        <f aca="false">E153+F152</f>
        <v>-916683055</v>
      </c>
      <c r="G153" s="36" t="n">
        <f aca="false">F153+G152</f>
        <v>-1231204835</v>
      </c>
    </row>
    <row r="154" customFormat="false" ht="15" hidden="false" customHeight="false" outlineLevel="0" collapsed="false">
      <c r="A154" s="6" t="s">
        <v>213</v>
      </c>
      <c r="B154" s="6" t="s">
        <v>214</v>
      </c>
      <c r="C154" s="37" t="n">
        <f aca="false">IF(C150&gt;0,1,0)</f>
        <v>0</v>
      </c>
      <c r="D154" s="37" t="n">
        <f aca="false">IF(D150&gt;0,1,0)</f>
        <v>0</v>
      </c>
      <c r="E154" s="37" t="n">
        <f aca="false">IF(E150&gt;0,1,0)</f>
        <v>0</v>
      </c>
      <c r="F154" s="37" t="n">
        <f aca="false">IF(F150&gt;0,1,0)</f>
        <v>0</v>
      </c>
      <c r="G154" s="37" t="n">
        <f aca="false">IF(G150&gt;0,1,0)</f>
        <v>0</v>
      </c>
    </row>
    <row r="155" customFormat="false" ht="15" hidden="false" customHeight="false" outlineLevel="0" collapsed="false">
      <c r="A155" s="6" t="s">
        <v>215</v>
      </c>
      <c r="B155" s="6" t="s">
        <v>80</v>
      </c>
      <c r="C155" s="33" t="n">
        <f aca="false">IF((C120+C121)=0,0,(C143+C141)/(C120+C121))</f>
        <v>772</v>
      </c>
      <c r="D155" s="33" t="n">
        <f aca="false">IF((D120+D121)=0,0,(D143+D141)/(D120+D121))</f>
        <v>884.108695652174</v>
      </c>
      <c r="E155" s="33" t="n">
        <f aca="false">IF((E120+E121)=0,0,(E143+E141)/(E120+E121))</f>
        <v>998.570882690103</v>
      </c>
      <c r="F155" s="33" t="n">
        <f aca="false">IF((F120+F121)=0,0,(F143+F141)/(F120+F121))</f>
        <v>1118.14788169464</v>
      </c>
      <c r="G155" s="33" t="n">
        <f aca="false">IF((G120+G121)=0,0,(G143+G141)/(G120+G121))</f>
        <v>1216.41936583703</v>
      </c>
      <c r="H155" s="7" t="s">
        <v>216</v>
      </c>
    </row>
    <row r="157" customFormat="false" ht="15" hidden="false" customHeight="false" outlineLevel="0" collapsed="false">
      <c r="A157" s="15" t="s">
        <v>220</v>
      </c>
      <c r="B157" s="16"/>
      <c r="C157" s="16"/>
      <c r="D157" s="16"/>
      <c r="E157" s="16"/>
      <c r="F157" s="16"/>
      <c r="G157" s="16"/>
      <c r="H157" s="16"/>
    </row>
    <row r="158" customFormat="false" ht="15" hidden="false" customHeight="false" outlineLevel="0" collapsed="false">
      <c r="A158" s="6" t="s">
        <v>163</v>
      </c>
      <c r="B158" s="6" t="s">
        <v>68</v>
      </c>
      <c r="C158" s="33" t="n">
        <f aca="false">Déploiement!C$36*Hypothèses!$G$58</f>
        <v>0</v>
      </c>
      <c r="D158" s="33" t="n">
        <f aca="false">Déploiement!D$36*Hypothèses!$G$58</f>
        <v>0</v>
      </c>
      <c r="E158" s="33" t="n">
        <f aca="false">Déploiement!E$36*Hypothèses!$G$58</f>
        <v>0</v>
      </c>
      <c r="F158" s="33" t="n">
        <f aca="false">Déploiement!F$36*Hypothèses!$G$58</f>
        <v>0</v>
      </c>
      <c r="G158" s="33" t="n">
        <f aca="false">Déploiement!G$36*Hypothèses!$G$58</f>
        <v>0</v>
      </c>
    </row>
    <row r="159" customFormat="false" ht="15" hidden="false" customHeight="false" outlineLevel="0" collapsed="false">
      <c r="A159" s="6" t="s">
        <v>175</v>
      </c>
      <c r="B159" s="6" t="s">
        <v>68</v>
      </c>
      <c r="C159" s="33" t="n">
        <f aca="false">Déploiement!C$40*Hypothèses!$G$67</f>
        <v>5000</v>
      </c>
      <c r="D159" s="33" t="n">
        <f aca="false">Déploiement!D$40*Hypothèses!$G$67</f>
        <v>30000</v>
      </c>
      <c r="E159" s="33" t="n">
        <f aca="false">Déploiement!E$40*Hypothèses!$G$67</f>
        <v>80000</v>
      </c>
      <c r="F159" s="33" t="n">
        <f aca="false">Déploiement!F$40*Hypothèses!$G$67</f>
        <v>150000</v>
      </c>
      <c r="G159" s="33" t="n">
        <f aca="false">Déploiement!G$40*Hypothèses!$G$67</f>
        <v>250000</v>
      </c>
    </row>
    <row r="160" customFormat="false" ht="15" hidden="false" customHeight="false" outlineLevel="0" collapsed="false">
      <c r="A160" s="6" t="s">
        <v>165</v>
      </c>
      <c r="B160" s="6" t="s">
        <v>160</v>
      </c>
      <c r="C160" s="34" t="n">
        <f aca="false">Déploiement!C$38*Hypothèses!$G$58</f>
        <v>0</v>
      </c>
      <c r="D160" s="34" t="n">
        <f aca="false">Déploiement!D$38*Hypothèses!$G$58</f>
        <v>0</v>
      </c>
      <c r="E160" s="34" t="n">
        <f aca="false">Déploiement!E$38*Hypothèses!$G$58</f>
        <v>0</v>
      </c>
      <c r="F160" s="34" t="n">
        <f aca="false">Déploiement!F$38*Hypothèses!$G$58</f>
        <v>0</v>
      </c>
      <c r="G160" s="34" t="n">
        <f aca="false">Déploiement!G$38*Hypothèses!$G$58</f>
        <v>0</v>
      </c>
    </row>
    <row r="161" customFormat="false" ht="15" hidden="false" customHeight="false" outlineLevel="0" collapsed="false">
      <c r="A161" s="6" t="s">
        <v>176</v>
      </c>
      <c r="B161" s="6" t="s">
        <v>160</v>
      </c>
      <c r="C161" s="34" t="n">
        <f aca="false">C160*(1-MIN(0.9,Hypothèses!C$17+Hypothèses!$G$71))</f>
        <v>0</v>
      </c>
      <c r="D161" s="34" t="n">
        <f aca="false">D160*(1-MIN(0.9,Hypothèses!D$17+Hypothèses!$G$71))</f>
        <v>0</v>
      </c>
      <c r="E161" s="34" t="n">
        <f aca="false">E160*(1-MIN(0.9,Hypothèses!E$17+Hypothèses!$G$71))</f>
        <v>0</v>
      </c>
      <c r="F161" s="34" t="n">
        <f aca="false">F160*(1-MIN(0.9,Hypothèses!F$17+Hypothèses!$G$71))</f>
        <v>0</v>
      </c>
      <c r="G161" s="34" t="n">
        <f aca="false">G160*(1-MIN(0.9,Hypothèses!G$17+Hypothèses!$G$71))</f>
        <v>0</v>
      </c>
      <c r="H161" s="7" t="s">
        <v>177</v>
      </c>
    </row>
    <row r="162" customFormat="false" ht="15" hidden="false" customHeight="false" outlineLevel="0" collapsed="false">
      <c r="A162" s="6" t="s">
        <v>178</v>
      </c>
      <c r="B162" s="6" t="s">
        <v>160</v>
      </c>
      <c r="C162" s="34" t="n">
        <f aca="false">C158*Hypothèses!C$18*Hypothèses!$C$35*Hypothèses!$G$65</f>
        <v>0</v>
      </c>
      <c r="D162" s="34" t="n">
        <f aca="false">D158*Hypothèses!D$18*Hypothèses!$C$35*Hypothèses!$G$65</f>
        <v>0</v>
      </c>
      <c r="E162" s="34" t="n">
        <f aca="false">E158*Hypothèses!E$18*Hypothèses!$C$35*Hypothèses!$G$65</f>
        <v>0</v>
      </c>
      <c r="F162" s="34" t="n">
        <f aca="false">F158*Hypothèses!F$18*Hypothèses!$C$35*Hypothèses!$G$65</f>
        <v>0</v>
      </c>
      <c r="G162" s="34" t="n">
        <f aca="false">G158*Hypothèses!G$18*Hypothèses!$C$35*Hypothèses!$G$65</f>
        <v>0</v>
      </c>
    </row>
    <row r="163" customFormat="false" ht="15" hidden="false" customHeight="false" outlineLevel="0" collapsed="false">
      <c r="A163" s="35" t="s">
        <v>179</v>
      </c>
    </row>
    <row r="164" customFormat="false" ht="15" hidden="false" customHeight="false" outlineLevel="0" collapsed="false">
      <c r="A164" s="6" t="s">
        <v>180</v>
      </c>
      <c r="B164" s="6" t="s">
        <v>160</v>
      </c>
      <c r="C164" s="34" t="n">
        <f aca="false">C160*Hypothèses!$G$59</f>
        <v>0</v>
      </c>
      <c r="D164" s="34" t="n">
        <f aca="false">D160*Hypothèses!$G$59</f>
        <v>0</v>
      </c>
      <c r="E164" s="34" t="n">
        <f aca="false">E160*Hypothèses!$G$59</f>
        <v>0</v>
      </c>
      <c r="F164" s="34" t="n">
        <f aca="false">F160*Hypothèses!$G$59</f>
        <v>0</v>
      </c>
      <c r="G164" s="34" t="n">
        <f aca="false">G160*Hypothèses!$G$59</f>
        <v>0</v>
      </c>
    </row>
    <row r="165" customFormat="false" ht="15" hidden="false" customHeight="false" outlineLevel="0" collapsed="false">
      <c r="A165" s="6" t="s">
        <v>181</v>
      </c>
      <c r="B165" s="6" t="s">
        <v>160</v>
      </c>
      <c r="C165" s="34" t="n">
        <f aca="false">C161*Hypothèses!$G$60</f>
        <v>0</v>
      </c>
      <c r="D165" s="34" t="n">
        <f aca="false">D161*Hypothèses!$G$60</f>
        <v>0</v>
      </c>
      <c r="E165" s="34" t="n">
        <f aca="false">E161*Hypothèses!$G$60</f>
        <v>0</v>
      </c>
      <c r="F165" s="34" t="n">
        <f aca="false">F161*Hypothèses!$G$60</f>
        <v>0</v>
      </c>
      <c r="G165" s="34" t="n">
        <f aca="false">G161*Hypothèses!$G$60</f>
        <v>0</v>
      </c>
    </row>
    <row r="166" customFormat="false" ht="15" hidden="false" customHeight="false" outlineLevel="0" collapsed="false">
      <c r="A166" s="6" t="s">
        <v>182</v>
      </c>
      <c r="B166" s="6" t="s">
        <v>160</v>
      </c>
      <c r="C166" s="34" t="n">
        <f aca="false">C158/Hypothèses!$C$30*Hypothèses!$G$62*Hypothèses!$C$31*12</f>
        <v>0</v>
      </c>
      <c r="D166" s="34" t="n">
        <f aca="false">D158/Hypothèses!$C$30*Hypothèses!$G$62*Hypothèses!$C$31*12</f>
        <v>0</v>
      </c>
      <c r="E166" s="34" t="n">
        <f aca="false">E158/Hypothèses!$C$30*Hypothèses!$G$62*Hypothèses!$C$31*12</f>
        <v>0</v>
      </c>
      <c r="F166" s="34" t="n">
        <f aca="false">F158/Hypothèses!$C$30*Hypothèses!$G$62*Hypothèses!$C$31*12</f>
        <v>0</v>
      </c>
      <c r="G166" s="34" t="n">
        <f aca="false">G158/Hypothèses!$C$30*Hypothèses!$G$62*Hypothèses!$C$31*12</f>
        <v>0</v>
      </c>
      <c r="H166" s="7" t="s">
        <v>183</v>
      </c>
    </row>
    <row r="167" customFormat="false" ht="15" hidden="false" customHeight="false" outlineLevel="0" collapsed="false">
      <c r="A167" s="6" t="s">
        <v>184</v>
      </c>
      <c r="B167" s="6" t="s">
        <v>160</v>
      </c>
      <c r="C167" s="34" t="n">
        <f aca="false">C158*Hypothèses!$G$63*Hypothèses!$C$32*12</f>
        <v>0</v>
      </c>
      <c r="D167" s="34" t="n">
        <f aca="false">D158*Hypothèses!$G$63*Hypothèses!$C$32*12</f>
        <v>0</v>
      </c>
      <c r="E167" s="34" t="n">
        <f aca="false">E158*Hypothèses!$G$63*Hypothèses!$C$32*12</f>
        <v>0</v>
      </c>
      <c r="F167" s="34" t="n">
        <f aca="false">F158*Hypothèses!$G$63*Hypothèses!$C$32*12</f>
        <v>0</v>
      </c>
      <c r="G167" s="34" t="n">
        <f aca="false">G158*Hypothèses!$G$63*Hypothèses!$C$32*12</f>
        <v>0</v>
      </c>
    </row>
    <row r="168" customFormat="false" ht="15" hidden="false" customHeight="false" outlineLevel="0" collapsed="false">
      <c r="A168" s="6" t="s">
        <v>185</v>
      </c>
      <c r="B168" s="6" t="s">
        <v>160</v>
      </c>
      <c r="C168" s="34" t="n">
        <f aca="false">C158*Hypothèses!$C$33*Hypothèses!$C$34*Hypothèses!$G$64</f>
        <v>0</v>
      </c>
      <c r="D168" s="34" t="n">
        <f aca="false">D158*Hypothèses!$C$33*Hypothèses!$C$34*Hypothèses!$G$64</f>
        <v>0</v>
      </c>
      <c r="E168" s="34" t="n">
        <f aca="false">E158*Hypothèses!$C$33*Hypothèses!$C$34*Hypothèses!$G$64</f>
        <v>0</v>
      </c>
      <c r="F168" s="34" t="n">
        <f aca="false">F158*Hypothèses!$C$33*Hypothèses!$C$34*Hypothèses!$G$64</f>
        <v>0</v>
      </c>
      <c r="G168" s="34" t="n">
        <f aca="false">G158*Hypothèses!$C$33*Hypothèses!$C$34*Hypothèses!$G$64</f>
        <v>0</v>
      </c>
    </row>
    <row r="169" customFormat="false" ht="15" hidden="false" customHeight="false" outlineLevel="0" collapsed="false">
      <c r="A169" s="6" t="s">
        <v>186</v>
      </c>
      <c r="B169" s="6" t="s">
        <v>160</v>
      </c>
      <c r="C169" s="34" t="n">
        <f aca="false">C162*Hypothèses!$C$36*Hypothèses!$C$37</f>
        <v>0</v>
      </c>
      <c r="D169" s="34" t="n">
        <f aca="false">D162*Hypothèses!$C$36*Hypothèses!$C$37</f>
        <v>0</v>
      </c>
      <c r="E169" s="34" t="n">
        <f aca="false">E162*Hypothèses!$C$36*Hypothèses!$C$37</f>
        <v>0</v>
      </c>
      <c r="F169" s="34" t="n">
        <f aca="false">F162*Hypothèses!$C$36*Hypothèses!$C$37</f>
        <v>0</v>
      </c>
      <c r="G169" s="34" t="n">
        <f aca="false">G162*Hypothèses!$C$36*Hypothèses!$C$37</f>
        <v>0</v>
      </c>
    </row>
    <row r="170" customFormat="false" ht="15" hidden="false" customHeight="false" outlineLevel="0" collapsed="false">
      <c r="A170" s="6" t="s">
        <v>187</v>
      </c>
      <c r="B170" s="6" t="s">
        <v>160</v>
      </c>
      <c r="C170" s="34" t="n">
        <f aca="false">C158*Hypothèses!$C$41*Hypothèses!$C$42*Hypothèses!$C$43*Hypothèses!$G$66</f>
        <v>0</v>
      </c>
      <c r="D170" s="34" t="n">
        <f aca="false">D158*Hypothèses!$C$41*Hypothèses!$C$42*Hypothèses!$C$43*Hypothèses!$G$66</f>
        <v>0</v>
      </c>
      <c r="E170" s="34" t="n">
        <f aca="false">E158*Hypothèses!$C$41*Hypothèses!$C$42*Hypothèses!$C$43*Hypothèses!$G$66</f>
        <v>0</v>
      </c>
      <c r="F170" s="34" t="n">
        <f aca="false">F158*Hypothèses!$C$41*Hypothèses!$C$42*Hypothèses!$C$43*Hypothèses!$G$66</f>
        <v>0</v>
      </c>
      <c r="G170" s="34" t="n">
        <f aca="false">G158*Hypothèses!$C$41*Hypothèses!$C$42*Hypothèses!$C$43*Hypothèses!$G$66</f>
        <v>0</v>
      </c>
    </row>
    <row r="171" customFormat="false" ht="15" hidden="false" customHeight="false" outlineLevel="0" collapsed="false">
      <c r="A171" s="6" t="s">
        <v>188</v>
      </c>
      <c r="B171" s="6" t="s">
        <v>160</v>
      </c>
      <c r="C171" s="34" t="n">
        <f aca="false">C159*Hypothèses!$C$44*12</f>
        <v>4500000</v>
      </c>
      <c r="D171" s="34" t="n">
        <f aca="false">D159*Hypothèses!$C$44*12</f>
        <v>27000000</v>
      </c>
      <c r="E171" s="34" t="n">
        <f aca="false">E159*Hypothèses!$C$44*12</f>
        <v>72000000</v>
      </c>
      <c r="F171" s="34" t="n">
        <f aca="false">F159*Hypothèses!$C$44*12</f>
        <v>135000000</v>
      </c>
      <c r="G171" s="34" t="n">
        <f aca="false">G159*Hypothèses!$C$44*12</f>
        <v>225000000</v>
      </c>
    </row>
    <row r="172" customFormat="false" ht="15" hidden="false" customHeight="false" outlineLevel="0" collapsed="false">
      <c r="A172" s="6" t="s">
        <v>189</v>
      </c>
      <c r="B172" s="6" t="s">
        <v>160</v>
      </c>
      <c r="C172" s="34" t="n">
        <f aca="false">C159*Hypothèses!C$18*Hypothèses!$C$35*Hypothèses!$C$40</f>
        <v>75000</v>
      </c>
      <c r="D172" s="34" t="n">
        <f aca="false">D159*Hypothèses!D$18*Hypothèses!$C$35*Hypothèses!$C$40</f>
        <v>900000</v>
      </c>
      <c r="E172" s="34" t="n">
        <f aca="false">E159*Hypothèses!E$18*Hypothèses!$C$35*Hypothèses!$C$40</f>
        <v>4000000</v>
      </c>
      <c r="F172" s="34" t="n">
        <f aca="false">F159*Hypothèses!F$18*Hypothèses!$C$35*Hypothèses!$C$40</f>
        <v>9000000</v>
      </c>
      <c r="G172" s="34" t="n">
        <f aca="false">G159*Hypothèses!G$18*Hypothèses!$C$35*Hypothèses!$C$40</f>
        <v>17500000</v>
      </c>
    </row>
    <row r="173" customFormat="false" ht="15" hidden="false" customHeight="false" outlineLevel="0" collapsed="false">
      <c r="A173" s="12" t="s">
        <v>190</v>
      </c>
      <c r="B173" s="6" t="s">
        <v>160</v>
      </c>
      <c r="C173" s="36" t="n">
        <f aca="false">SUM(C164:C172)</f>
        <v>4575000</v>
      </c>
      <c r="D173" s="36" t="n">
        <f aca="false">SUM(D164:D172)</f>
        <v>27900000</v>
      </c>
      <c r="E173" s="36" t="n">
        <f aca="false">SUM(E164:E172)</f>
        <v>76000000</v>
      </c>
      <c r="F173" s="36" t="n">
        <f aca="false">SUM(F164:F172)</f>
        <v>144000000</v>
      </c>
      <c r="G173" s="36" t="n">
        <f aca="false">SUM(G164:G172)</f>
        <v>242500000</v>
      </c>
    </row>
    <row r="174" customFormat="false" ht="15" hidden="false" customHeight="false" outlineLevel="0" collapsed="false">
      <c r="A174" s="35" t="s">
        <v>191</v>
      </c>
    </row>
    <row r="175" customFormat="false" ht="15" hidden="false" customHeight="false" outlineLevel="0" collapsed="false">
      <c r="A175" s="6" t="s">
        <v>192</v>
      </c>
      <c r="B175" s="6" t="s">
        <v>160</v>
      </c>
      <c r="C175" s="34" t="n">
        <f aca="false">C161*(Hypothèses!$C$24+Hypothèses!$C$25)*(1-Hypothèses!$G$61)*(1-Hypothèses!$G$70)</f>
        <v>0</v>
      </c>
      <c r="D175" s="34" t="n">
        <f aca="false">D161*(Hypothèses!$C$24+Hypothèses!$C$25)*(1-Hypothèses!$G$61)*(1-Hypothèses!$G$70)</f>
        <v>0</v>
      </c>
      <c r="E175" s="34" t="n">
        <f aca="false">E161*(Hypothèses!$C$24+Hypothèses!$C$25)*(1-Hypothèses!$G$61)*(1-Hypothèses!$G$70)</f>
        <v>0</v>
      </c>
      <c r="F175" s="34" t="n">
        <f aca="false">F161*(Hypothèses!$C$24+Hypothèses!$C$25)*(1-Hypothèses!$G$61)*(1-Hypothèses!$G$70)</f>
        <v>0</v>
      </c>
      <c r="G175" s="34" t="n">
        <f aca="false">G161*(Hypothèses!$C$24+Hypothèses!$C$25)*(1-Hypothèses!$G$61)*(1-Hypothèses!$G$70)</f>
        <v>0</v>
      </c>
      <c r="H175" s="7" t="s">
        <v>193</v>
      </c>
    </row>
    <row r="176" customFormat="false" ht="15" hidden="false" customHeight="false" outlineLevel="0" collapsed="false">
      <c r="A176" s="6" t="s">
        <v>194</v>
      </c>
      <c r="B176" s="6" t="s">
        <v>160</v>
      </c>
      <c r="C176" s="34" t="n">
        <f aca="false">(C158+0.5*C159)*(Hypothèses!$C$26+Hypothèses!$C$27)</f>
        <v>675000</v>
      </c>
      <c r="D176" s="34" t="n">
        <f aca="false">(D158+0.5*D159)*(Hypothèses!$C$26+Hypothèses!$C$27)</f>
        <v>4050000</v>
      </c>
      <c r="E176" s="34" t="n">
        <f aca="false">(E158+0.5*E159)*(Hypothèses!$C$26+Hypothèses!$C$27)</f>
        <v>10800000</v>
      </c>
      <c r="F176" s="34" t="n">
        <f aca="false">(F158+0.5*F159)*(Hypothèses!$C$26+Hypothèses!$C$27)</f>
        <v>20250000</v>
      </c>
      <c r="G176" s="34" t="n">
        <f aca="false">(G158+0.5*G159)*(Hypothèses!$C$26+Hypothèses!$C$27)</f>
        <v>33750000</v>
      </c>
      <c r="H176" s="7" t="s">
        <v>195</v>
      </c>
    </row>
    <row r="177" customFormat="false" ht="15" hidden="false" customHeight="false" outlineLevel="0" collapsed="false">
      <c r="A177" s="6" t="s">
        <v>196</v>
      </c>
      <c r="B177" s="6" t="s">
        <v>160</v>
      </c>
      <c r="C177" s="34" t="n">
        <f aca="false">C158*Hypothèses!$C$29*Hypothèses!$C$28</f>
        <v>0</v>
      </c>
      <c r="D177" s="34" t="n">
        <f aca="false">MAX(0,D158-C158)*Hypothèses!$C$29*Hypothèses!$C$28</f>
        <v>0</v>
      </c>
      <c r="E177" s="34" t="n">
        <f aca="false">MAX(0,E158-D158)*Hypothèses!$C$29*Hypothèses!$C$28</f>
        <v>0</v>
      </c>
      <c r="F177" s="34" t="n">
        <f aca="false">MAX(0,F158-E158)*Hypothèses!$C$29*Hypothèses!$C$28</f>
        <v>0</v>
      </c>
      <c r="G177" s="34" t="n">
        <f aca="false">MAX(0,G158-F158)*Hypothèses!$C$29*Hypothèses!$C$28</f>
        <v>0</v>
      </c>
    </row>
    <row r="178" customFormat="false" ht="15" hidden="false" customHeight="false" outlineLevel="0" collapsed="false">
      <c r="A178" s="6" t="s">
        <v>197</v>
      </c>
      <c r="B178" s="6" t="s">
        <v>160</v>
      </c>
      <c r="C178" s="34" t="n">
        <f aca="false">C162*Hypothèses!$C$38*Hypothèses!$C$39</f>
        <v>0</v>
      </c>
      <c r="D178" s="34" t="n">
        <f aca="false">D162*Hypothèses!$C$38*Hypothèses!$C$39</f>
        <v>0</v>
      </c>
      <c r="E178" s="34" t="n">
        <f aca="false">E162*Hypothèses!$C$38*Hypothèses!$C$39</f>
        <v>0</v>
      </c>
      <c r="F178" s="34" t="n">
        <f aca="false">F162*Hypothèses!$C$38*Hypothèses!$C$39</f>
        <v>0</v>
      </c>
      <c r="G178" s="34" t="n">
        <f aca="false">G162*Hypothèses!$C$38*Hypothèses!$C$39</f>
        <v>0</v>
      </c>
    </row>
    <row r="179" customFormat="false" ht="15" hidden="false" customHeight="false" outlineLevel="0" collapsed="false">
      <c r="A179" s="6" t="s">
        <v>198</v>
      </c>
      <c r="B179" s="6" t="s">
        <v>160</v>
      </c>
      <c r="C179" s="34" t="n">
        <f aca="false">C158*Hypothèses!$G$68+C159*Hypothèses!$G$69</f>
        <v>1500000</v>
      </c>
      <c r="D179" s="34" t="n">
        <f aca="false">MAX(0,D158-C158)*Hypothèses!$G$68+MAX(0,D159-C159)*Hypothèses!$G$69</f>
        <v>7500000</v>
      </c>
      <c r="E179" s="34" t="n">
        <f aca="false">MAX(0,E158-D158)*Hypothèses!$G$68+MAX(0,E159-D159)*Hypothèses!$G$69</f>
        <v>15000000</v>
      </c>
      <c r="F179" s="34" t="n">
        <f aca="false">MAX(0,F158-E158)*Hypothèses!$G$68+MAX(0,F159-E159)*Hypothèses!$G$69</f>
        <v>21000000</v>
      </c>
      <c r="G179" s="34" t="n">
        <f aca="false">MAX(0,G158-F158)*Hypothèses!$G$68+MAX(0,G159-F159)*Hypothèses!$G$69</f>
        <v>30000000</v>
      </c>
      <c r="H179" s="7" t="s">
        <v>199</v>
      </c>
    </row>
    <row r="180" customFormat="false" ht="15" hidden="false" customHeight="false" outlineLevel="0" collapsed="false">
      <c r="A180" s="12" t="s">
        <v>200</v>
      </c>
      <c r="B180" s="6" t="s">
        <v>160</v>
      </c>
      <c r="C180" s="36" t="n">
        <f aca="false">SUM(C175:C179)</f>
        <v>2175000</v>
      </c>
      <c r="D180" s="36" t="n">
        <f aca="false">SUM(D175:D179)</f>
        <v>11550000</v>
      </c>
      <c r="E180" s="36" t="n">
        <f aca="false">SUM(E175:E179)</f>
        <v>25800000</v>
      </c>
      <c r="F180" s="36" t="n">
        <f aca="false">SUM(F175:F179)</f>
        <v>41250000</v>
      </c>
      <c r="G180" s="36" t="n">
        <f aca="false">SUM(G175:G179)</f>
        <v>63750000</v>
      </c>
    </row>
    <row r="181" customFormat="false" ht="15" hidden="false" customHeight="false" outlineLevel="0" collapsed="false">
      <c r="A181" s="12" t="s">
        <v>201</v>
      </c>
      <c r="B181" s="6" t="s">
        <v>160</v>
      </c>
      <c r="C181" s="36" t="n">
        <f aca="false">C173-C180</f>
        <v>2400000</v>
      </c>
      <c r="D181" s="36" t="n">
        <f aca="false">D173-D180</f>
        <v>16350000</v>
      </c>
      <c r="E181" s="36" t="n">
        <f aca="false">E173-E180</f>
        <v>50200000</v>
      </c>
      <c r="F181" s="36" t="n">
        <f aca="false">F173-F180</f>
        <v>102750000</v>
      </c>
      <c r="G181" s="36" t="n">
        <f aca="false">G173-G180</f>
        <v>178750000</v>
      </c>
    </row>
    <row r="182" customFormat="false" ht="15" hidden="false" customHeight="false" outlineLevel="0" collapsed="false">
      <c r="A182" s="35" t="s">
        <v>202</v>
      </c>
    </row>
    <row r="183" customFormat="false" ht="15" hidden="false" customHeight="false" outlineLevel="0" collapsed="false">
      <c r="A183" s="6" t="s">
        <v>203</v>
      </c>
      <c r="B183" s="6" t="s">
        <v>160</v>
      </c>
      <c r="C183" s="34" t="n">
        <f aca="false">(Hypothèses!C$20*Hypothèses!$C$46+Hypothèses!$C$49)*(1-Hypothèses!$G$72)</f>
        <v>88000000</v>
      </c>
      <c r="D183" s="34" t="n">
        <f aca="false">(Hypothèses!D$20*Hypothèses!$C$46+Hypothèses!$C$49)*(1-Hypothèses!$G$72)</f>
        <v>112000000</v>
      </c>
      <c r="E183" s="34" t="n">
        <f aca="false">(Hypothèses!E$20*Hypothèses!$C$46+Hypothèses!$C$49)*(1-Hypothèses!$G$72)</f>
        <v>136000000</v>
      </c>
      <c r="F183" s="34" t="n">
        <f aca="false">(Hypothèses!F$20*Hypothèses!$C$46+Hypothèses!$C$49)*(1-Hypothèses!$G$72)</f>
        <v>160000000</v>
      </c>
      <c r="G183" s="34" t="n">
        <f aca="false">(Hypothèses!G$20*Hypothèses!$C$46+Hypothèses!$C$49)*(1-Hypothèses!$G$72)</f>
        <v>184000000</v>
      </c>
    </row>
    <row r="184" customFormat="false" ht="15" hidden="false" customHeight="false" outlineLevel="0" collapsed="false">
      <c r="A184" s="6" t="s">
        <v>204</v>
      </c>
      <c r="B184" s="6" t="s">
        <v>160</v>
      </c>
      <c r="C184" s="34" t="n">
        <f aca="false">Déploiement!C$39*(Hypothèses!$C$47+Hypothèses!$C$48)*Hypothèses!$G$58+Déploiement!C$39*Hypothèses!$C$47*0.5*(1-Hypothèses!$G$58)</f>
        <v>22500000</v>
      </c>
      <c r="D184" s="34" t="n">
        <f aca="false">Déploiement!D$39*(Hypothèses!$C$47+Hypothèses!$C$48)*Hypothèses!$G$58+Déploiement!D$39*Hypothèses!$C$47*0.5*(1-Hypothèses!$G$58)</f>
        <v>22500000</v>
      </c>
      <c r="E184" s="34" t="n">
        <f aca="false">Déploiement!E$39*(Hypothèses!$C$47+Hypothèses!$C$48)*Hypothèses!$G$58+Déploiement!E$39*Hypothèses!$C$47*0.5*(1-Hypothèses!$G$58)</f>
        <v>45000000</v>
      </c>
      <c r="F184" s="34" t="n">
        <f aca="false">Déploiement!F$39*(Hypothèses!$C$47+Hypothèses!$C$48)*Hypothèses!$G$58+Déploiement!F$39*Hypothèses!$C$47*0.5*(1-Hypothèses!$G$58)</f>
        <v>67500000</v>
      </c>
      <c r="G184" s="34" t="n">
        <f aca="false">Déploiement!G$39*(Hypothèses!$C$47+Hypothèses!$C$48)*Hypothèses!$G$58+Déploiement!G$39*Hypothèses!$C$47*0.5*(1-Hypothèses!$G$58)</f>
        <v>112500000</v>
      </c>
      <c r="H184" s="7" t="s">
        <v>205</v>
      </c>
    </row>
    <row r="185" customFormat="false" ht="15" hidden="false" customHeight="false" outlineLevel="0" collapsed="false">
      <c r="A185" s="6" t="s">
        <v>206</v>
      </c>
      <c r="B185" s="6" t="s">
        <v>160</v>
      </c>
      <c r="C185" s="34" t="n">
        <f aca="false">Hypothèses!$C$50*Hypothèses!C$21*Hypothèses!$G$65+Hypothèses!$C$51*IF(Hypothèses!$G$67&gt;0,1,0)</f>
        <v>25000000</v>
      </c>
      <c r="D185" s="34" t="n">
        <f aca="false">Hypothèses!$C$50*Hypothèses!D$21*Hypothèses!$G$65+Hypothèses!$C$51*IF(Hypothèses!$G$67&gt;0,1,0)</f>
        <v>25000000</v>
      </c>
      <c r="E185" s="34" t="n">
        <f aca="false">Hypothèses!$C$50*Hypothèses!E$21*Hypothèses!$G$65+Hypothèses!$C$51*IF(Hypothèses!$G$67&gt;0,1,0)</f>
        <v>25000000</v>
      </c>
      <c r="F185" s="34" t="n">
        <f aca="false">Hypothèses!$C$50*Hypothèses!F$21*Hypothèses!$G$65+Hypothèses!$C$51*IF(Hypothèses!$G$67&gt;0,1,0)</f>
        <v>25000000</v>
      </c>
      <c r="G185" s="34" t="n">
        <f aca="false">Hypothèses!$C$50*Hypothèses!G$21*Hypothèses!$G$65+Hypothèses!$C$51*IF(Hypothèses!$G$67&gt;0,1,0)</f>
        <v>25000000</v>
      </c>
    </row>
    <row r="186" customFormat="false" ht="15" hidden="false" customHeight="false" outlineLevel="0" collapsed="false">
      <c r="A186" s="12" t="s">
        <v>207</v>
      </c>
      <c r="B186" s="6" t="s">
        <v>160</v>
      </c>
      <c r="C186" s="36" t="n">
        <f aca="false">SUM(C183:C185)</f>
        <v>135500000</v>
      </c>
      <c r="D186" s="36" t="n">
        <f aca="false">SUM(D183:D185)</f>
        <v>159500000</v>
      </c>
      <c r="E186" s="36" t="n">
        <f aca="false">SUM(E183:E185)</f>
        <v>206000000</v>
      </c>
      <c r="F186" s="36" t="n">
        <f aca="false">SUM(F183:F185)</f>
        <v>252500000</v>
      </c>
      <c r="G186" s="36" t="n">
        <f aca="false">SUM(G183:G185)</f>
        <v>321500000</v>
      </c>
    </row>
    <row r="187" customFormat="false" ht="15" hidden="false" customHeight="false" outlineLevel="0" collapsed="false">
      <c r="A187" s="35" t="s">
        <v>208</v>
      </c>
    </row>
    <row r="188" customFormat="false" ht="15" hidden="false" customHeight="false" outlineLevel="0" collapsed="false">
      <c r="A188" s="12" t="s">
        <v>209</v>
      </c>
      <c r="B188" s="6" t="s">
        <v>160</v>
      </c>
      <c r="C188" s="36" t="n">
        <f aca="false">C181-C186</f>
        <v>-133100000</v>
      </c>
      <c r="D188" s="36" t="n">
        <f aca="false">D181-D186</f>
        <v>-143150000</v>
      </c>
      <c r="E188" s="36" t="n">
        <f aca="false">E181-E186</f>
        <v>-155800000</v>
      </c>
      <c r="F188" s="36" t="n">
        <f aca="false">F181-F186</f>
        <v>-149750000</v>
      </c>
      <c r="G188" s="36" t="n">
        <f aca="false">G181-G186</f>
        <v>-142750000</v>
      </c>
    </row>
    <row r="189" customFormat="false" ht="15" hidden="false" customHeight="false" outlineLevel="0" collapsed="false">
      <c r="A189" s="6" t="s">
        <v>210</v>
      </c>
      <c r="B189" s="6" t="s">
        <v>160</v>
      </c>
      <c r="C189" s="34" t="n">
        <f aca="false">MAX(0,C188-Hypothèses!$C$52/3*IF(0&lt;3,1,0))*Hypothèses!$C$53</f>
        <v>0</v>
      </c>
      <c r="D189" s="34" t="n">
        <f aca="false">MAX(0,D188-Hypothèses!$C$52/3*IF(1&lt;3,1,0))*Hypothèses!$C$53</f>
        <v>0</v>
      </c>
      <c r="E189" s="34" t="n">
        <f aca="false">MAX(0,E188-Hypothèses!$C$52/3*IF(2&lt;3,1,0))*Hypothèses!$C$53</f>
        <v>0</v>
      </c>
      <c r="F189" s="34" t="n">
        <f aca="false">MAX(0,F188-Hypothèses!$C$52/3*IF(3&lt;3,1,0))*Hypothèses!$C$53</f>
        <v>0</v>
      </c>
      <c r="G189" s="34" t="n">
        <f aca="false">MAX(0,G188-Hypothèses!$C$52/3*IF(4&lt;3,1,0))*Hypothèses!$C$53</f>
        <v>0</v>
      </c>
    </row>
    <row r="190" customFormat="false" ht="15" hidden="false" customHeight="false" outlineLevel="0" collapsed="false">
      <c r="A190" s="6" t="s">
        <v>211</v>
      </c>
      <c r="B190" s="6" t="s">
        <v>160</v>
      </c>
      <c r="C190" s="34" t="n">
        <f aca="false">C188-C189-IF(0=0,Hypothèses!$C$52,0)</f>
        <v>-178100000</v>
      </c>
      <c r="D190" s="34" t="n">
        <f aca="false">D188-D189-IF(1=0,Hypothèses!$C$52,0)</f>
        <v>-143150000</v>
      </c>
      <c r="E190" s="34" t="n">
        <f aca="false">E188-E189-IF(2=0,Hypothèses!$C$52,0)</f>
        <v>-155800000</v>
      </c>
      <c r="F190" s="34" t="n">
        <f aca="false">F188-F189-IF(3=0,Hypothèses!$C$52,0)</f>
        <v>-149750000</v>
      </c>
      <c r="G190" s="34" t="n">
        <f aca="false">G188-G189-IF(4=0,Hypothèses!$C$52,0)</f>
        <v>-142750000</v>
      </c>
    </row>
    <row r="191" customFormat="false" ht="15" hidden="false" customHeight="false" outlineLevel="0" collapsed="false">
      <c r="A191" s="12" t="s">
        <v>212</v>
      </c>
      <c r="B191" s="6" t="s">
        <v>160</v>
      </c>
      <c r="C191" s="36" t="n">
        <f aca="false">C190</f>
        <v>-178100000</v>
      </c>
      <c r="D191" s="36" t="n">
        <f aca="false">C191+D190</f>
        <v>-321250000</v>
      </c>
      <c r="E191" s="36" t="n">
        <f aca="false">D191+E190</f>
        <v>-477050000</v>
      </c>
      <c r="F191" s="36" t="n">
        <f aca="false">E191+F190</f>
        <v>-626800000</v>
      </c>
      <c r="G191" s="36" t="n">
        <f aca="false">F191+G190</f>
        <v>-769550000</v>
      </c>
    </row>
    <row r="192" customFormat="false" ht="15" hidden="false" customHeight="false" outlineLevel="0" collapsed="false">
      <c r="A192" s="6" t="s">
        <v>213</v>
      </c>
      <c r="B192" s="6" t="s">
        <v>214</v>
      </c>
      <c r="C192" s="37" t="n">
        <f aca="false">IF(C188&gt;0,1,0)</f>
        <v>0</v>
      </c>
      <c r="D192" s="37" t="n">
        <f aca="false">IF(D188&gt;0,1,0)</f>
        <v>0</v>
      </c>
      <c r="E192" s="37" t="n">
        <f aca="false">IF(E188&gt;0,1,0)</f>
        <v>0</v>
      </c>
      <c r="F192" s="37" t="n">
        <f aca="false">IF(F188&gt;0,1,0)</f>
        <v>0</v>
      </c>
      <c r="G192" s="37" t="n">
        <f aca="false">IF(G188&gt;0,1,0)</f>
        <v>0</v>
      </c>
    </row>
    <row r="193" customFormat="false" ht="15" hidden="false" customHeight="false" outlineLevel="0" collapsed="false">
      <c r="A193" s="6" t="s">
        <v>215</v>
      </c>
      <c r="B193" s="6" t="s">
        <v>80</v>
      </c>
      <c r="C193" s="33" t="n">
        <f aca="false">IF((C158+C159)=0,0,(C181+C179)/(C158+C159))</f>
        <v>780</v>
      </c>
      <c r="D193" s="33" t="n">
        <f aca="false">IF((D158+D159)=0,0,(D181+D179)/(D158+D159))</f>
        <v>795</v>
      </c>
      <c r="E193" s="33" t="n">
        <f aca="false">IF((E158+E159)=0,0,(E181+E179)/(E158+E159))</f>
        <v>815</v>
      </c>
      <c r="F193" s="33" t="n">
        <f aca="false">IF((F158+F159)=0,0,(F181+F179)/(F158+F159))</f>
        <v>825</v>
      </c>
      <c r="G193" s="33" t="n">
        <f aca="false">IF((G158+G159)=0,0,(G181+G179)/(G158+G159))</f>
        <v>835</v>
      </c>
      <c r="H193" s="7" t="s">
        <v>216</v>
      </c>
    </row>
    <row r="195" customFormat="false" ht="15" hidden="false" customHeight="false" outlineLevel="0" collapsed="false">
      <c r="A195" s="15" t="s">
        <v>221</v>
      </c>
      <c r="B195" s="16"/>
      <c r="C195" s="16"/>
      <c r="D195" s="16"/>
      <c r="E195" s="16"/>
      <c r="F195" s="16"/>
      <c r="G195" s="16"/>
      <c r="H195" s="16"/>
    </row>
    <row r="196" customFormat="false" ht="15" hidden="false" customHeight="false" outlineLevel="0" collapsed="false">
      <c r="A196" s="6" t="s">
        <v>163</v>
      </c>
      <c r="B196" s="6" t="s">
        <v>68</v>
      </c>
      <c r="C196" s="33" t="n">
        <f aca="false">Déploiement!C$36*Hypothèses!$H$58</f>
        <v>7740</v>
      </c>
      <c r="D196" s="33" t="n">
        <f aca="false">Déploiement!D$36*Hypothèses!$H$58</f>
        <v>29670</v>
      </c>
      <c r="E196" s="33" t="n">
        <f aca="false">Déploiement!E$36*Hypothèses!$H$58</f>
        <v>78510</v>
      </c>
      <c r="F196" s="33" t="n">
        <f aca="false">Déploiement!F$36*Hypothèses!$H$58</f>
        <v>150120</v>
      </c>
      <c r="G196" s="33" t="n">
        <f aca="false">Déploiement!G$36*Hypothèses!$H$58</f>
        <v>263970</v>
      </c>
    </row>
    <row r="197" customFormat="false" ht="15" hidden="false" customHeight="false" outlineLevel="0" collapsed="false">
      <c r="A197" s="6" t="s">
        <v>175</v>
      </c>
      <c r="B197" s="6" t="s">
        <v>68</v>
      </c>
      <c r="C197" s="33" t="n">
        <f aca="false">Déploiement!C$40*Hypothèses!$H$67</f>
        <v>2500</v>
      </c>
      <c r="D197" s="33" t="n">
        <f aca="false">Déploiement!D$40*Hypothèses!$H$67</f>
        <v>15000</v>
      </c>
      <c r="E197" s="33" t="n">
        <f aca="false">Déploiement!E$40*Hypothèses!$H$67</f>
        <v>40000</v>
      </c>
      <c r="F197" s="33" t="n">
        <f aca="false">Déploiement!F$40*Hypothèses!$H$67</f>
        <v>75000</v>
      </c>
      <c r="G197" s="33" t="n">
        <f aca="false">Déploiement!G$40*Hypothèses!$H$67</f>
        <v>125000</v>
      </c>
    </row>
    <row r="198" customFormat="false" ht="15" hidden="false" customHeight="false" outlineLevel="0" collapsed="false">
      <c r="A198" s="6" t="s">
        <v>165</v>
      </c>
      <c r="B198" s="6" t="s">
        <v>160</v>
      </c>
      <c r="C198" s="34" t="n">
        <f aca="false">Déploiement!C$38*Hypothèses!$H$58</f>
        <v>1161000000</v>
      </c>
      <c r="D198" s="34" t="n">
        <f aca="false">Déploiement!D$38*Hypothèses!$H$58</f>
        <v>4450500000</v>
      </c>
      <c r="E198" s="34" t="n">
        <f aca="false">Déploiement!E$38*Hypothèses!$H$58</f>
        <v>12456900000</v>
      </c>
      <c r="F198" s="34" t="n">
        <f aca="false">Déploiement!F$38*Hypothèses!$H$58</f>
        <v>25126200000</v>
      </c>
      <c r="G198" s="34" t="n">
        <f aca="false">Déploiement!G$38*Hypothèses!$H$58</f>
        <v>45981000000</v>
      </c>
    </row>
    <row r="199" customFormat="false" ht="15" hidden="false" customHeight="false" outlineLevel="0" collapsed="false">
      <c r="A199" s="6" t="s">
        <v>176</v>
      </c>
      <c r="B199" s="6" t="s">
        <v>160</v>
      </c>
      <c r="C199" s="34" t="n">
        <f aca="false">C198*(1-MIN(0.9,Hypothèses!C$17+Hypothèses!$H$71))</f>
        <v>986850000</v>
      </c>
      <c r="D199" s="34" t="n">
        <f aca="false">D198*(1-MIN(0.9,Hypothèses!D$17+Hypothèses!$H$71))</f>
        <v>3337875000</v>
      </c>
      <c r="E199" s="34" t="n">
        <f aca="false">E198*(1-MIN(0.9,Hypothèses!E$17+Hypothèses!$H$71))</f>
        <v>8719830000</v>
      </c>
      <c r="F199" s="34" t="n">
        <f aca="false">F198*(1-MIN(0.9,Hypothèses!F$17+Hypothèses!$H$71))</f>
        <v>16332030000</v>
      </c>
      <c r="G199" s="34" t="n">
        <f aca="false">G198*(1-MIN(0.9,Hypothèses!G$17+Hypothèses!$H$71))</f>
        <v>27588600000</v>
      </c>
      <c r="H199" s="7" t="s">
        <v>177</v>
      </c>
    </row>
    <row r="200" customFormat="false" ht="15" hidden="false" customHeight="false" outlineLevel="0" collapsed="false">
      <c r="A200" s="6" t="s">
        <v>178</v>
      </c>
      <c r="B200" s="6" t="s">
        <v>160</v>
      </c>
      <c r="C200" s="34" t="n">
        <f aca="false">C196*Hypothèses!C$18*Hypothèses!$C$35*Hypothèses!$H$65</f>
        <v>11610000</v>
      </c>
      <c r="D200" s="34" t="n">
        <f aca="false">D196*Hypothèses!D$18*Hypothèses!$C$35*Hypothèses!$H$65</f>
        <v>89010000</v>
      </c>
      <c r="E200" s="34" t="n">
        <f aca="false">E196*Hypothèses!E$18*Hypothèses!$C$35*Hypothèses!$H$65</f>
        <v>392550000</v>
      </c>
      <c r="F200" s="34" t="n">
        <f aca="false">F196*Hypothèses!F$18*Hypothèses!$C$35*Hypothèses!$H$65</f>
        <v>900720000</v>
      </c>
      <c r="G200" s="34" t="n">
        <f aca="false">G196*Hypothèses!G$18*Hypothèses!$C$35*Hypothèses!$H$65</f>
        <v>1847790000</v>
      </c>
    </row>
    <row r="201" customFormat="false" ht="15" hidden="false" customHeight="false" outlineLevel="0" collapsed="false">
      <c r="A201" s="35" t="s">
        <v>179</v>
      </c>
    </row>
    <row r="202" customFormat="false" ht="15" hidden="false" customHeight="false" outlineLevel="0" collapsed="false">
      <c r="A202" s="6" t="s">
        <v>180</v>
      </c>
      <c r="B202" s="6" t="s">
        <v>160</v>
      </c>
      <c r="C202" s="34" t="n">
        <f aca="false">C198*Hypothèses!$H$59</f>
        <v>11610000</v>
      </c>
      <c r="D202" s="34" t="n">
        <f aca="false">D198*Hypothèses!$H$59</f>
        <v>44505000</v>
      </c>
      <c r="E202" s="34" t="n">
        <f aca="false">E198*Hypothèses!$H$59</f>
        <v>124569000</v>
      </c>
      <c r="F202" s="34" t="n">
        <f aca="false">F198*Hypothèses!$H$59</f>
        <v>251262000</v>
      </c>
      <c r="G202" s="34" t="n">
        <f aca="false">G198*Hypothèses!$H$59</f>
        <v>459810000</v>
      </c>
    </row>
    <row r="203" customFormat="false" ht="15" hidden="false" customHeight="false" outlineLevel="0" collapsed="false">
      <c r="A203" s="6" t="s">
        <v>181</v>
      </c>
      <c r="B203" s="6" t="s">
        <v>160</v>
      </c>
      <c r="C203" s="34" t="n">
        <f aca="false">C199*Hypothèses!$H$60</f>
        <v>9868500</v>
      </c>
      <c r="D203" s="34" t="n">
        <f aca="false">D199*Hypothèses!$H$60</f>
        <v>33378750</v>
      </c>
      <c r="E203" s="34" t="n">
        <f aca="false">E199*Hypothèses!$H$60</f>
        <v>87198300</v>
      </c>
      <c r="F203" s="34" t="n">
        <f aca="false">F199*Hypothèses!$H$60</f>
        <v>163320300</v>
      </c>
      <c r="G203" s="34" t="n">
        <f aca="false">G199*Hypothèses!$H$60</f>
        <v>275886000</v>
      </c>
    </row>
    <row r="204" customFormat="false" ht="15" hidden="false" customHeight="false" outlineLevel="0" collapsed="false">
      <c r="A204" s="6" t="s">
        <v>182</v>
      </c>
      <c r="B204" s="6" t="s">
        <v>160</v>
      </c>
      <c r="C204" s="34" t="n">
        <f aca="false">C196/Hypothèses!$C$30*Hypothèses!$H$62*Hypothèses!$C$31*12</f>
        <v>2322000</v>
      </c>
      <c r="D204" s="34" t="n">
        <f aca="false">D196/Hypothèses!$C$30*Hypothèses!$H$62*Hypothèses!$C$31*12</f>
        <v>8901000</v>
      </c>
      <c r="E204" s="34" t="n">
        <f aca="false">E196/Hypothèses!$C$30*Hypothèses!$H$62*Hypothèses!$C$31*12</f>
        <v>23553000</v>
      </c>
      <c r="F204" s="34" t="n">
        <f aca="false">F196/Hypothèses!$C$30*Hypothèses!$H$62*Hypothèses!$C$31*12</f>
        <v>45036000</v>
      </c>
      <c r="G204" s="34" t="n">
        <f aca="false">G196/Hypothèses!$C$30*Hypothèses!$H$62*Hypothèses!$C$31*12</f>
        <v>79191000</v>
      </c>
      <c r="H204" s="7" t="s">
        <v>183</v>
      </c>
    </row>
    <row r="205" customFormat="false" ht="15" hidden="false" customHeight="false" outlineLevel="0" collapsed="false">
      <c r="A205" s="6" t="s">
        <v>184</v>
      </c>
      <c r="B205" s="6" t="s">
        <v>160</v>
      </c>
      <c r="C205" s="34" t="n">
        <f aca="false">C196*Hypothèses!$H$63*Hypothèses!$C$32*12</f>
        <v>1393200</v>
      </c>
      <c r="D205" s="34" t="n">
        <f aca="false">D196*Hypothèses!$H$63*Hypothèses!$C$32*12</f>
        <v>5340600</v>
      </c>
      <c r="E205" s="34" t="n">
        <f aca="false">E196*Hypothèses!$H$63*Hypothèses!$C$32*12</f>
        <v>14131800</v>
      </c>
      <c r="F205" s="34" t="n">
        <f aca="false">F196*Hypothèses!$H$63*Hypothèses!$C$32*12</f>
        <v>27021600</v>
      </c>
      <c r="G205" s="34" t="n">
        <f aca="false">G196*Hypothèses!$H$63*Hypothèses!$C$32*12</f>
        <v>47514600</v>
      </c>
    </row>
    <row r="206" customFormat="false" ht="15" hidden="false" customHeight="false" outlineLevel="0" collapsed="false">
      <c r="A206" s="6" t="s">
        <v>185</v>
      </c>
      <c r="B206" s="6" t="s">
        <v>160</v>
      </c>
      <c r="C206" s="34" t="n">
        <f aca="false">C196*Hypothèses!$C$33*Hypothèses!$C$34*Hypothèses!$H$64</f>
        <v>1857600</v>
      </c>
      <c r="D206" s="34" t="n">
        <f aca="false">D196*Hypothèses!$C$33*Hypothèses!$C$34*Hypothèses!$H$64</f>
        <v>7120800</v>
      </c>
      <c r="E206" s="34" t="n">
        <f aca="false">E196*Hypothèses!$C$33*Hypothèses!$C$34*Hypothèses!$H$64</f>
        <v>18842400</v>
      </c>
      <c r="F206" s="34" t="n">
        <f aca="false">F196*Hypothèses!$C$33*Hypothèses!$C$34*Hypothèses!$H$64</f>
        <v>36028800</v>
      </c>
      <c r="G206" s="34" t="n">
        <f aca="false">G196*Hypothèses!$C$33*Hypothèses!$C$34*Hypothèses!$H$64</f>
        <v>63352800</v>
      </c>
    </row>
    <row r="207" customFormat="false" ht="15" hidden="false" customHeight="false" outlineLevel="0" collapsed="false">
      <c r="A207" s="6" t="s">
        <v>186</v>
      </c>
      <c r="B207" s="6" t="s">
        <v>160</v>
      </c>
      <c r="C207" s="34" t="n">
        <f aca="false">C200*Hypothèses!$C$36*Hypothèses!$C$37</f>
        <v>208980</v>
      </c>
      <c r="D207" s="34" t="n">
        <f aca="false">D200*Hypothèses!$C$36*Hypothèses!$C$37</f>
        <v>1602180</v>
      </c>
      <c r="E207" s="34" t="n">
        <f aca="false">E200*Hypothèses!$C$36*Hypothèses!$C$37</f>
        <v>7065900</v>
      </c>
      <c r="F207" s="34" t="n">
        <f aca="false">F200*Hypothèses!$C$36*Hypothèses!$C$37</f>
        <v>16212960</v>
      </c>
      <c r="G207" s="34" t="n">
        <f aca="false">G200*Hypothèses!$C$36*Hypothèses!$C$37</f>
        <v>33260220</v>
      </c>
    </row>
    <row r="208" customFormat="false" ht="15" hidden="false" customHeight="false" outlineLevel="0" collapsed="false">
      <c r="A208" s="6" t="s">
        <v>187</v>
      </c>
      <c r="B208" s="6" t="s">
        <v>160</v>
      </c>
      <c r="C208" s="34" t="n">
        <f aca="false">C196*Hypothèses!$C$41*Hypothèses!$C$42*Hypothèses!$C$43*Hypothèses!$H$66</f>
        <v>464400</v>
      </c>
      <c r="D208" s="34" t="n">
        <f aca="false">D196*Hypothèses!$C$41*Hypothèses!$C$42*Hypothèses!$C$43*Hypothèses!$H$66</f>
        <v>1780200</v>
      </c>
      <c r="E208" s="34" t="n">
        <f aca="false">E196*Hypothèses!$C$41*Hypothèses!$C$42*Hypothèses!$C$43*Hypothèses!$H$66</f>
        <v>4710600</v>
      </c>
      <c r="F208" s="34" t="n">
        <f aca="false">F196*Hypothèses!$C$41*Hypothèses!$C$42*Hypothèses!$C$43*Hypothèses!$H$66</f>
        <v>9007200</v>
      </c>
      <c r="G208" s="34" t="n">
        <f aca="false">G196*Hypothèses!$C$41*Hypothèses!$C$42*Hypothèses!$C$43*Hypothèses!$H$66</f>
        <v>15838200</v>
      </c>
    </row>
    <row r="209" customFormat="false" ht="15" hidden="false" customHeight="false" outlineLevel="0" collapsed="false">
      <c r="A209" s="6" t="s">
        <v>188</v>
      </c>
      <c r="B209" s="6" t="s">
        <v>160</v>
      </c>
      <c r="C209" s="34" t="n">
        <f aca="false">C197*Hypothèses!$C$44*12</f>
        <v>2250000</v>
      </c>
      <c r="D209" s="34" t="n">
        <f aca="false">D197*Hypothèses!$C$44*12</f>
        <v>13500000</v>
      </c>
      <c r="E209" s="34" t="n">
        <f aca="false">E197*Hypothèses!$C$44*12</f>
        <v>36000000</v>
      </c>
      <c r="F209" s="34" t="n">
        <f aca="false">F197*Hypothèses!$C$44*12</f>
        <v>67500000</v>
      </c>
      <c r="G209" s="34" t="n">
        <f aca="false">G197*Hypothèses!$C$44*12</f>
        <v>112500000</v>
      </c>
    </row>
    <row r="210" customFormat="false" ht="15" hidden="false" customHeight="false" outlineLevel="0" collapsed="false">
      <c r="A210" s="6" t="s">
        <v>189</v>
      </c>
      <c r="B210" s="6" t="s">
        <v>160</v>
      </c>
      <c r="C210" s="34" t="n">
        <f aca="false">C197*Hypothèses!C$18*Hypothèses!$C$35*Hypothèses!$C$40</f>
        <v>37500</v>
      </c>
      <c r="D210" s="34" t="n">
        <f aca="false">D197*Hypothèses!D$18*Hypothèses!$C$35*Hypothèses!$C$40</f>
        <v>450000</v>
      </c>
      <c r="E210" s="34" t="n">
        <f aca="false">E197*Hypothèses!E$18*Hypothèses!$C$35*Hypothèses!$C$40</f>
        <v>2000000</v>
      </c>
      <c r="F210" s="34" t="n">
        <f aca="false">F197*Hypothèses!F$18*Hypothèses!$C$35*Hypothèses!$C$40</f>
        <v>4500000</v>
      </c>
      <c r="G210" s="34" t="n">
        <f aca="false">G197*Hypothèses!G$18*Hypothèses!$C$35*Hypothèses!$C$40</f>
        <v>8750000</v>
      </c>
    </row>
    <row r="211" customFormat="false" ht="15" hidden="false" customHeight="false" outlineLevel="0" collapsed="false">
      <c r="A211" s="12" t="s">
        <v>190</v>
      </c>
      <c r="B211" s="6" t="s">
        <v>160</v>
      </c>
      <c r="C211" s="36" t="n">
        <f aca="false">SUM(C202:C210)</f>
        <v>30012180</v>
      </c>
      <c r="D211" s="36" t="n">
        <f aca="false">SUM(D202:D210)</f>
        <v>116578530</v>
      </c>
      <c r="E211" s="36" t="n">
        <f aca="false">SUM(E202:E210)</f>
        <v>318071000</v>
      </c>
      <c r="F211" s="36" t="n">
        <f aca="false">SUM(F202:F210)</f>
        <v>619888860</v>
      </c>
      <c r="G211" s="36" t="n">
        <f aca="false">SUM(G202:G210)</f>
        <v>1096102820</v>
      </c>
    </row>
    <row r="212" customFormat="false" ht="15" hidden="false" customHeight="false" outlineLevel="0" collapsed="false">
      <c r="A212" s="35" t="s">
        <v>191</v>
      </c>
    </row>
    <row r="213" customFormat="false" ht="15" hidden="false" customHeight="false" outlineLevel="0" collapsed="false">
      <c r="A213" s="6" t="s">
        <v>192</v>
      </c>
      <c r="B213" s="6" t="s">
        <v>160</v>
      </c>
      <c r="C213" s="34" t="n">
        <f aca="false">C199*(Hypothèses!$C$24+Hypothèses!$C$25)*(1-Hypothèses!$H$61)*(1-Hypothèses!$H$70)</f>
        <v>14802750</v>
      </c>
      <c r="D213" s="34" t="n">
        <f aca="false">D199*(Hypothèses!$C$24+Hypothèses!$C$25)*(1-Hypothèses!$H$61)*(1-Hypothèses!$H$70)</f>
        <v>50068125</v>
      </c>
      <c r="E213" s="34" t="n">
        <f aca="false">E199*(Hypothèses!$C$24+Hypothèses!$C$25)*(1-Hypothèses!$H$61)*(1-Hypothèses!$H$70)</f>
        <v>130797450</v>
      </c>
      <c r="F213" s="34" t="n">
        <f aca="false">F199*(Hypothèses!$C$24+Hypothèses!$C$25)*(1-Hypothèses!$H$61)*(1-Hypothèses!$H$70)</f>
        <v>244980450</v>
      </c>
      <c r="G213" s="34" t="n">
        <f aca="false">G199*(Hypothèses!$C$24+Hypothèses!$C$25)*(1-Hypothèses!$H$61)*(1-Hypothèses!$H$70)</f>
        <v>413829000</v>
      </c>
      <c r="H213" s="7" t="s">
        <v>193</v>
      </c>
    </row>
    <row r="214" customFormat="false" ht="15" hidden="false" customHeight="false" outlineLevel="0" collapsed="false">
      <c r="A214" s="6" t="s">
        <v>194</v>
      </c>
      <c r="B214" s="6" t="s">
        <v>160</v>
      </c>
      <c r="C214" s="34" t="n">
        <f aca="false">(C196+0.5*C197)*(Hypothèses!$C$26+Hypothèses!$C$27)</f>
        <v>2427300</v>
      </c>
      <c r="D214" s="34" t="n">
        <f aca="false">(D196+0.5*D197)*(Hypothèses!$C$26+Hypothèses!$C$27)</f>
        <v>10035900</v>
      </c>
      <c r="E214" s="34" t="n">
        <f aca="false">(E196+0.5*E197)*(Hypothèses!$C$26+Hypothèses!$C$27)</f>
        <v>26597700</v>
      </c>
      <c r="F214" s="34" t="n">
        <f aca="false">(F196+0.5*F197)*(Hypothèses!$C$26+Hypothèses!$C$27)</f>
        <v>50657400</v>
      </c>
      <c r="G214" s="34" t="n">
        <f aca="false">(G196+0.5*G197)*(Hypothèses!$C$26+Hypothèses!$C$27)</f>
        <v>88146900</v>
      </c>
      <c r="H214" s="7" t="s">
        <v>195</v>
      </c>
    </row>
    <row r="215" customFormat="false" ht="15" hidden="false" customHeight="false" outlineLevel="0" collapsed="false">
      <c r="A215" s="6" t="s">
        <v>196</v>
      </c>
      <c r="B215" s="6" t="s">
        <v>160</v>
      </c>
      <c r="C215" s="34" t="n">
        <f aca="false">C196*Hypothèses!$C$29*Hypothèses!$C$28</f>
        <v>967500</v>
      </c>
      <c r="D215" s="34" t="n">
        <f aca="false">MAX(0,D196-C196)*Hypothèses!$C$29*Hypothèses!$C$28</f>
        <v>2741250</v>
      </c>
      <c r="E215" s="34" t="n">
        <f aca="false">MAX(0,E196-D196)*Hypothèses!$C$29*Hypothèses!$C$28</f>
        <v>6105000</v>
      </c>
      <c r="F215" s="34" t="n">
        <f aca="false">MAX(0,F196-E196)*Hypothèses!$C$29*Hypothèses!$C$28</f>
        <v>8951250</v>
      </c>
      <c r="G215" s="34" t="n">
        <f aca="false">MAX(0,G196-F196)*Hypothèses!$C$29*Hypothèses!$C$28</f>
        <v>14231250</v>
      </c>
    </row>
    <row r="216" customFormat="false" ht="15" hidden="false" customHeight="false" outlineLevel="0" collapsed="false">
      <c r="A216" s="6" t="s">
        <v>197</v>
      </c>
      <c r="B216" s="6" t="s">
        <v>160</v>
      </c>
      <c r="C216" s="34" t="n">
        <f aca="false">C200*Hypothèses!$C$38*Hypothèses!$C$39</f>
        <v>174150</v>
      </c>
      <c r="D216" s="34" t="n">
        <f aca="false">D200*Hypothèses!$C$38*Hypothèses!$C$39</f>
        <v>1335150</v>
      </c>
      <c r="E216" s="34" t="n">
        <f aca="false">E200*Hypothèses!$C$38*Hypothèses!$C$39</f>
        <v>5888250</v>
      </c>
      <c r="F216" s="34" t="n">
        <f aca="false">F200*Hypothèses!$C$38*Hypothèses!$C$39</f>
        <v>13510800</v>
      </c>
      <c r="G216" s="34" t="n">
        <f aca="false">G200*Hypothèses!$C$38*Hypothèses!$C$39</f>
        <v>27716850</v>
      </c>
    </row>
    <row r="217" customFormat="false" ht="15" hidden="false" customHeight="false" outlineLevel="0" collapsed="false">
      <c r="A217" s="6" t="s">
        <v>198</v>
      </c>
      <c r="B217" s="6" t="s">
        <v>160</v>
      </c>
      <c r="C217" s="34" t="n">
        <f aca="false">C196*Hypothèses!$H$68+C197*Hypothèses!$H$69</f>
        <v>8490000</v>
      </c>
      <c r="D217" s="34" t="n">
        <f aca="false">MAX(0,D196-C196)*Hypothèses!$H$68+MAX(0,D197-C197)*Hypothèses!$H$69</f>
        <v>25680000</v>
      </c>
      <c r="E217" s="34" t="n">
        <f aca="false">MAX(0,E196-D196)*Hypothèses!$H$68+MAX(0,E197-D197)*Hypothèses!$H$69</f>
        <v>56340000</v>
      </c>
      <c r="F217" s="34" t="n">
        <f aca="false">MAX(0,F196-E196)*Hypothèses!$H$68+MAX(0,F197-E197)*Hypothèses!$H$69</f>
        <v>82110000</v>
      </c>
      <c r="G217" s="34" t="n">
        <f aca="false">MAX(0,G196-F196)*Hypothèses!$H$68+MAX(0,G197-F197)*Hypothèses!$H$69</f>
        <v>128850000</v>
      </c>
      <c r="H217" s="7" t="s">
        <v>199</v>
      </c>
    </row>
    <row r="218" customFormat="false" ht="15" hidden="false" customHeight="false" outlineLevel="0" collapsed="false">
      <c r="A218" s="12" t="s">
        <v>200</v>
      </c>
      <c r="B218" s="6" t="s">
        <v>160</v>
      </c>
      <c r="C218" s="36" t="n">
        <f aca="false">SUM(C213:C217)</f>
        <v>26861700</v>
      </c>
      <c r="D218" s="36" t="n">
        <f aca="false">SUM(D213:D217)</f>
        <v>89860425</v>
      </c>
      <c r="E218" s="36" t="n">
        <f aca="false">SUM(E213:E217)</f>
        <v>225728400</v>
      </c>
      <c r="F218" s="36" t="n">
        <f aca="false">SUM(F213:F217)</f>
        <v>400209900</v>
      </c>
      <c r="G218" s="36" t="n">
        <f aca="false">SUM(G213:G217)</f>
        <v>672774000</v>
      </c>
    </row>
    <row r="219" customFormat="false" ht="15" hidden="false" customHeight="false" outlineLevel="0" collapsed="false">
      <c r="A219" s="12" t="s">
        <v>201</v>
      </c>
      <c r="B219" s="6" t="s">
        <v>160</v>
      </c>
      <c r="C219" s="36" t="n">
        <f aca="false">C211-C218</f>
        <v>3150480</v>
      </c>
      <c r="D219" s="36" t="n">
        <f aca="false">D211-D218</f>
        <v>26718105</v>
      </c>
      <c r="E219" s="36" t="n">
        <f aca="false">E211-E218</f>
        <v>92342600</v>
      </c>
      <c r="F219" s="36" t="n">
        <f aca="false">F211-F218</f>
        <v>219678960</v>
      </c>
      <c r="G219" s="36" t="n">
        <f aca="false">G211-G218</f>
        <v>423328820</v>
      </c>
    </row>
    <row r="220" customFormat="false" ht="15" hidden="false" customHeight="false" outlineLevel="0" collapsed="false">
      <c r="A220" s="35" t="s">
        <v>202</v>
      </c>
    </row>
    <row r="221" customFormat="false" ht="15" hidden="false" customHeight="false" outlineLevel="0" collapsed="false">
      <c r="A221" s="6" t="s">
        <v>203</v>
      </c>
      <c r="B221" s="6" t="s">
        <v>160</v>
      </c>
      <c r="C221" s="34" t="n">
        <f aca="false">(Hypothèses!C$20*Hypothèses!$C$46+Hypothèses!$C$49)*(1-Hypothèses!$H$72)</f>
        <v>88000000</v>
      </c>
      <c r="D221" s="34" t="n">
        <f aca="false">(Hypothèses!D$20*Hypothèses!$C$46+Hypothèses!$C$49)*(1-Hypothèses!$H$72)</f>
        <v>112000000</v>
      </c>
      <c r="E221" s="34" t="n">
        <f aca="false">(Hypothèses!E$20*Hypothèses!$C$46+Hypothèses!$C$49)*(1-Hypothèses!$H$72)</f>
        <v>136000000</v>
      </c>
      <c r="F221" s="34" t="n">
        <f aca="false">(Hypothèses!F$20*Hypothèses!$C$46+Hypothèses!$C$49)*(1-Hypothèses!$H$72)</f>
        <v>160000000</v>
      </c>
      <c r="G221" s="34" t="n">
        <f aca="false">(Hypothèses!G$20*Hypothèses!$C$46+Hypothèses!$C$49)*(1-Hypothèses!$H$72)</f>
        <v>184000000</v>
      </c>
    </row>
    <row r="222" customFormat="false" ht="15" hidden="false" customHeight="false" outlineLevel="0" collapsed="false">
      <c r="A222" s="6" t="s">
        <v>204</v>
      </c>
      <c r="B222" s="6" t="s">
        <v>160</v>
      </c>
      <c r="C222" s="34" t="n">
        <f aca="false">Déploiement!C$39*(Hypothèses!$C$47+Hypothèses!$C$48)*Hypothèses!$H$58+Déploiement!C$39*Hypothèses!$C$47*0.5*(1-Hypothèses!$H$58)</f>
        <v>57000000</v>
      </c>
      <c r="D222" s="34" t="n">
        <f aca="false">Déploiement!D$39*(Hypothèses!$C$47+Hypothèses!$C$48)*Hypothèses!$H$58+Déploiement!D$39*Hypothèses!$C$47*0.5*(1-Hypothèses!$H$58)</f>
        <v>57000000</v>
      </c>
      <c r="E222" s="34" t="n">
        <f aca="false">Déploiement!E$39*(Hypothèses!$C$47+Hypothèses!$C$48)*Hypothèses!$H$58+Déploiement!E$39*Hypothèses!$C$47*0.5*(1-Hypothèses!$H$58)</f>
        <v>114000000</v>
      </c>
      <c r="F222" s="34" t="n">
        <f aca="false">Déploiement!F$39*(Hypothèses!$C$47+Hypothèses!$C$48)*Hypothèses!$H$58+Déploiement!F$39*Hypothèses!$C$47*0.5*(1-Hypothèses!$H$58)</f>
        <v>171000000</v>
      </c>
      <c r="G222" s="34" t="n">
        <f aca="false">Déploiement!G$39*(Hypothèses!$C$47+Hypothèses!$C$48)*Hypothèses!$H$58+Déploiement!G$39*Hypothèses!$C$47*0.5*(1-Hypothèses!$H$58)</f>
        <v>285000000</v>
      </c>
      <c r="H222" s="7" t="s">
        <v>205</v>
      </c>
    </row>
    <row r="223" customFormat="false" ht="15" hidden="false" customHeight="false" outlineLevel="0" collapsed="false">
      <c r="A223" s="6" t="s">
        <v>206</v>
      </c>
      <c r="B223" s="6" t="s">
        <v>160</v>
      </c>
      <c r="C223" s="34" t="n">
        <f aca="false">Hypothèses!$C$50*Hypothèses!C$21*Hypothèses!$H$65+Hypothèses!$C$51*IF(Hypothèses!$H$67&gt;0,1,0)</f>
        <v>25000000</v>
      </c>
      <c r="D223" s="34" t="n">
        <f aca="false">Hypothèses!$C$50*Hypothèses!D$21*Hypothèses!$H$65+Hypothèses!$C$51*IF(Hypothèses!$H$67&gt;0,1,0)</f>
        <v>40000000</v>
      </c>
      <c r="E223" s="34" t="n">
        <f aca="false">Hypothèses!$C$50*Hypothèses!E$21*Hypothèses!$H$65+Hypothèses!$C$51*IF(Hypothèses!$H$67&gt;0,1,0)</f>
        <v>55000000</v>
      </c>
      <c r="F223" s="34" t="n">
        <f aca="false">Hypothèses!$C$50*Hypothèses!F$21*Hypothèses!$H$65+Hypothèses!$C$51*IF(Hypothèses!$H$67&gt;0,1,0)</f>
        <v>55000000</v>
      </c>
      <c r="G223" s="34" t="n">
        <f aca="false">Hypothèses!$C$50*Hypothèses!G$21*Hypothèses!$H$65+Hypothèses!$C$51*IF(Hypothèses!$H$67&gt;0,1,0)</f>
        <v>55000000</v>
      </c>
    </row>
    <row r="224" customFormat="false" ht="15" hidden="false" customHeight="false" outlineLevel="0" collapsed="false">
      <c r="A224" s="12" t="s">
        <v>207</v>
      </c>
      <c r="B224" s="6" t="s">
        <v>160</v>
      </c>
      <c r="C224" s="36" t="n">
        <f aca="false">SUM(C221:C223)</f>
        <v>170000000</v>
      </c>
      <c r="D224" s="36" t="n">
        <f aca="false">SUM(D221:D223)</f>
        <v>209000000</v>
      </c>
      <c r="E224" s="36" t="n">
        <f aca="false">SUM(E221:E223)</f>
        <v>305000000</v>
      </c>
      <c r="F224" s="36" t="n">
        <f aca="false">SUM(F221:F223)</f>
        <v>386000000</v>
      </c>
      <c r="G224" s="36" t="n">
        <f aca="false">SUM(G221:G223)</f>
        <v>524000000</v>
      </c>
    </row>
    <row r="225" customFormat="false" ht="15" hidden="false" customHeight="false" outlineLevel="0" collapsed="false">
      <c r="A225" s="35" t="s">
        <v>208</v>
      </c>
    </row>
    <row r="226" customFormat="false" ht="15" hidden="false" customHeight="false" outlineLevel="0" collapsed="false">
      <c r="A226" s="12" t="s">
        <v>209</v>
      </c>
      <c r="B226" s="6" t="s">
        <v>160</v>
      </c>
      <c r="C226" s="36" t="n">
        <f aca="false">C219-C224</f>
        <v>-166849520</v>
      </c>
      <c r="D226" s="36" t="n">
        <f aca="false">D219-D224</f>
        <v>-182281895</v>
      </c>
      <c r="E226" s="36" t="n">
        <f aca="false">E219-E224</f>
        <v>-212657400</v>
      </c>
      <c r="F226" s="36" t="n">
        <f aca="false">F219-F224</f>
        <v>-166321040</v>
      </c>
      <c r="G226" s="36" t="n">
        <f aca="false">G219-G224</f>
        <v>-100671180</v>
      </c>
    </row>
    <row r="227" customFormat="false" ht="15" hidden="false" customHeight="false" outlineLevel="0" collapsed="false">
      <c r="A227" s="6" t="s">
        <v>210</v>
      </c>
      <c r="B227" s="6" t="s">
        <v>160</v>
      </c>
      <c r="C227" s="34" t="n">
        <f aca="false">MAX(0,C226-Hypothèses!$C$52/3*IF(0&lt;3,1,0))*Hypothèses!$C$53</f>
        <v>0</v>
      </c>
      <c r="D227" s="34" t="n">
        <f aca="false">MAX(0,D226-Hypothèses!$C$52/3*IF(1&lt;3,1,0))*Hypothèses!$C$53</f>
        <v>0</v>
      </c>
      <c r="E227" s="34" t="n">
        <f aca="false">MAX(0,E226-Hypothèses!$C$52/3*IF(2&lt;3,1,0))*Hypothèses!$C$53</f>
        <v>0</v>
      </c>
      <c r="F227" s="34" t="n">
        <f aca="false">MAX(0,F226-Hypothèses!$C$52/3*IF(3&lt;3,1,0))*Hypothèses!$C$53</f>
        <v>0</v>
      </c>
      <c r="G227" s="34" t="n">
        <f aca="false">MAX(0,G226-Hypothèses!$C$52/3*IF(4&lt;3,1,0))*Hypothèses!$C$53</f>
        <v>0</v>
      </c>
    </row>
    <row r="228" customFormat="false" ht="15" hidden="false" customHeight="false" outlineLevel="0" collapsed="false">
      <c r="A228" s="6" t="s">
        <v>211</v>
      </c>
      <c r="B228" s="6" t="s">
        <v>160</v>
      </c>
      <c r="C228" s="34" t="n">
        <f aca="false">C226-C227-IF(0=0,Hypothèses!$C$52,0)</f>
        <v>-211849520</v>
      </c>
      <c r="D228" s="34" t="n">
        <f aca="false">D226-D227-IF(1=0,Hypothèses!$C$52,0)</f>
        <v>-182281895</v>
      </c>
      <c r="E228" s="34" t="n">
        <f aca="false">E226-E227-IF(2=0,Hypothèses!$C$52,0)</f>
        <v>-212657400</v>
      </c>
      <c r="F228" s="34" t="n">
        <f aca="false">F226-F227-IF(3=0,Hypothèses!$C$52,0)</f>
        <v>-166321040</v>
      </c>
      <c r="G228" s="34" t="n">
        <f aca="false">G226-G227-IF(4=0,Hypothèses!$C$52,0)</f>
        <v>-100671180</v>
      </c>
    </row>
    <row r="229" customFormat="false" ht="15" hidden="false" customHeight="false" outlineLevel="0" collapsed="false">
      <c r="A229" s="12" t="s">
        <v>212</v>
      </c>
      <c r="B229" s="6" t="s">
        <v>160</v>
      </c>
      <c r="C229" s="36" t="n">
        <f aca="false">C228</f>
        <v>-211849520</v>
      </c>
      <c r="D229" s="36" t="n">
        <f aca="false">C229+D228</f>
        <v>-394131415</v>
      </c>
      <c r="E229" s="36" t="n">
        <f aca="false">D229+E228</f>
        <v>-606788815</v>
      </c>
      <c r="F229" s="36" t="n">
        <f aca="false">E229+F228</f>
        <v>-773109855</v>
      </c>
      <c r="G229" s="36" t="n">
        <f aca="false">F229+G228</f>
        <v>-873781035</v>
      </c>
    </row>
    <row r="230" customFormat="false" ht="15" hidden="false" customHeight="false" outlineLevel="0" collapsed="false">
      <c r="A230" s="6" t="s">
        <v>213</v>
      </c>
      <c r="B230" s="6" t="s">
        <v>214</v>
      </c>
      <c r="C230" s="37" t="n">
        <f aca="false">IF(C226&gt;0,1,0)</f>
        <v>0</v>
      </c>
      <c r="D230" s="37" t="n">
        <f aca="false">IF(D226&gt;0,1,0)</f>
        <v>0</v>
      </c>
      <c r="E230" s="37" t="n">
        <f aca="false">IF(E226&gt;0,1,0)</f>
        <v>0</v>
      </c>
      <c r="F230" s="37" t="n">
        <f aca="false">IF(F226&gt;0,1,0)</f>
        <v>0</v>
      </c>
      <c r="G230" s="37" t="n">
        <f aca="false">IF(G226&gt;0,1,0)</f>
        <v>0</v>
      </c>
    </row>
    <row r="231" customFormat="false" ht="15" hidden="false" customHeight="false" outlineLevel="0" collapsed="false">
      <c r="A231" s="6" t="s">
        <v>215</v>
      </c>
      <c r="B231" s="6" t="s">
        <v>80</v>
      </c>
      <c r="C231" s="33" t="n">
        <f aca="false">IF((C196+C197)=0,0,(C219+C217)/(C196+C197))</f>
        <v>1136.765625</v>
      </c>
      <c r="D231" s="33" t="n">
        <f aca="false">IF((D196+D197)=0,0,(D219+D217)/(D196+D197))</f>
        <v>1173.00436534587</v>
      </c>
      <c r="E231" s="33" t="n">
        <f aca="false">IF((E196+E197)=0,0,(E219+E217)/(E196+E197))</f>
        <v>1254.5996118471</v>
      </c>
      <c r="F231" s="33" t="n">
        <f aca="false">IF((F196+F197)=0,0,(F219+F217)/(F196+F197))</f>
        <v>1340.56929637527</v>
      </c>
      <c r="G231" s="33" t="n">
        <f aca="false">IF((G196+G197)=0,0,(G219+G217)/(G196+G197))</f>
        <v>1419.59230789007</v>
      </c>
      <c r="H231" s="7" t="s">
        <v>216</v>
      </c>
    </row>
    <row r="233" customFormat="false" ht="15" hidden="false" customHeight="false" outlineLevel="0" collapsed="false">
      <c r="A233" s="15" t="s">
        <v>222</v>
      </c>
      <c r="B233" s="16"/>
      <c r="C233" s="16"/>
      <c r="D233" s="16"/>
      <c r="E233" s="16"/>
      <c r="F233" s="16"/>
      <c r="G233" s="16"/>
      <c r="H233" s="16"/>
    </row>
    <row r="234" customFormat="false" ht="15" hidden="false" customHeight="false" outlineLevel="0" collapsed="false">
      <c r="A234" s="6" t="s">
        <v>163</v>
      </c>
      <c r="B234" s="6" t="s">
        <v>68</v>
      </c>
      <c r="C234" s="33" t="n">
        <f aca="false">Déploiement!C$36*Hypothèses!$I$58</f>
        <v>7740</v>
      </c>
      <c r="D234" s="33" t="n">
        <f aca="false">Déploiement!D$36*Hypothèses!$I$58</f>
        <v>29670</v>
      </c>
      <c r="E234" s="33" t="n">
        <f aca="false">Déploiement!E$36*Hypothèses!$I$58</f>
        <v>78510</v>
      </c>
      <c r="F234" s="33" t="n">
        <f aca="false">Déploiement!F$36*Hypothèses!$I$58</f>
        <v>150120</v>
      </c>
      <c r="G234" s="33" t="n">
        <f aca="false">Déploiement!G$36*Hypothèses!$I$58</f>
        <v>263970</v>
      </c>
    </row>
    <row r="235" customFormat="false" ht="15" hidden="false" customHeight="false" outlineLevel="0" collapsed="false">
      <c r="A235" s="6" t="s">
        <v>175</v>
      </c>
      <c r="B235" s="6" t="s">
        <v>68</v>
      </c>
      <c r="C235" s="33" t="n">
        <f aca="false">Déploiement!C$40*Hypothèses!$I$67</f>
        <v>5000</v>
      </c>
      <c r="D235" s="33" t="n">
        <f aca="false">Déploiement!D$40*Hypothèses!$I$67</f>
        <v>30000</v>
      </c>
      <c r="E235" s="33" t="n">
        <f aca="false">Déploiement!E$40*Hypothèses!$I$67</f>
        <v>80000</v>
      </c>
      <c r="F235" s="33" t="n">
        <f aca="false">Déploiement!F$40*Hypothèses!$I$67</f>
        <v>150000</v>
      </c>
      <c r="G235" s="33" t="n">
        <f aca="false">Déploiement!G$40*Hypothèses!$I$67</f>
        <v>250000</v>
      </c>
    </row>
    <row r="236" customFormat="false" ht="15" hidden="false" customHeight="false" outlineLevel="0" collapsed="false">
      <c r="A236" s="6" t="s">
        <v>165</v>
      </c>
      <c r="B236" s="6" t="s">
        <v>160</v>
      </c>
      <c r="C236" s="34" t="n">
        <f aca="false">Déploiement!C$38*Hypothèses!$I$58</f>
        <v>1161000000</v>
      </c>
      <c r="D236" s="34" t="n">
        <f aca="false">Déploiement!D$38*Hypothèses!$I$58</f>
        <v>4450500000</v>
      </c>
      <c r="E236" s="34" t="n">
        <f aca="false">Déploiement!E$38*Hypothèses!$I$58</f>
        <v>12456900000</v>
      </c>
      <c r="F236" s="34" t="n">
        <f aca="false">Déploiement!F$38*Hypothèses!$I$58</f>
        <v>25126200000</v>
      </c>
      <c r="G236" s="34" t="n">
        <f aca="false">Déploiement!G$38*Hypothèses!$I$58</f>
        <v>45981000000</v>
      </c>
    </row>
    <row r="237" customFormat="false" ht="15" hidden="false" customHeight="false" outlineLevel="0" collapsed="false">
      <c r="A237" s="6" t="s">
        <v>176</v>
      </c>
      <c r="B237" s="6" t="s">
        <v>160</v>
      </c>
      <c r="C237" s="34" t="n">
        <f aca="false">C236*(1-MIN(0.9,Hypothèses!C$17+Hypothèses!$I$71))</f>
        <v>986850000</v>
      </c>
      <c r="D237" s="34" t="n">
        <f aca="false">D236*(1-MIN(0.9,Hypothèses!D$17+Hypothèses!$I$71))</f>
        <v>3337875000</v>
      </c>
      <c r="E237" s="34" t="n">
        <f aca="false">E236*(1-MIN(0.9,Hypothèses!E$17+Hypothèses!$I$71))</f>
        <v>8719830000</v>
      </c>
      <c r="F237" s="34" t="n">
        <f aca="false">F236*(1-MIN(0.9,Hypothèses!F$17+Hypothèses!$I$71))</f>
        <v>16332030000</v>
      </c>
      <c r="G237" s="34" t="n">
        <f aca="false">G236*(1-MIN(0.9,Hypothèses!G$17+Hypothèses!$I$71))</f>
        <v>27588600000</v>
      </c>
      <c r="H237" s="7" t="s">
        <v>177</v>
      </c>
    </row>
    <row r="238" customFormat="false" ht="15" hidden="false" customHeight="false" outlineLevel="0" collapsed="false">
      <c r="A238" s="6" t="s">
        <v>178</v>
      </c>
      <c r="B238" s="6" t="s">
        <v>160</v>
      </c>
      <c r="C238" s="34" t="n">
        <f aca="false">C234*Hypothèses!C$18*Hypothèses!$C$35*Hypothèses!$I$65</f>
        <v>11610000</v>
      </c>
      <c r="D238" s="34" t="n">
        <f aca="false">D234*Hypothèses!D$18*Hypothèses!$C$35*Hypothèses!$I$65</f>
        <v>89010000</v>
      </c>
      <c r="E238" s="34" t="n">
        <f aca="false">E234*Hypothèses!E$18*Hypothèses!$C$35*Hypothèses!$I$65</f>
        <v>392550000</v>
      </c>
      <c r="F238" s="34" t="n">
        <f aca="false">F234*Hypothèses!F$18*Hypothèses!$C$35*Hypothèses!$I$65</f>
        <v>900720000</v>
      </c>
      <c r="G238" s="34" t="n">
        <f aca="false">G234*Hypothèses!G$18*Hypothèses!$C$35*Hypothèses!$I$65</f>
        <v>1847790000</v>
      </c>
    </row>
    <row r="239" customFormat="false" ht="15" hidden="false" customHeight="false" outlineLevel="0" collapsed="false">
      <c r="A239" s="35" t="s">
        <v>179</v>
      </c>
    </row>
    <row r="240" customFormat="false" ht="15" hidden="false" customHeight="false" outlineLevel="0" collapsed="false">
      <c r="A240" s="6" t="s">
        <v>180</v>
      </c>
      <c r="B240" s="6" t="s">
        <v>160</v>
      </c>
      <c r="C240" s="34" t="n">
        <f aca="false">C236*Hypothèses!$I$59</f>
        <v>11610000</v>
      </c>
      <c r="D240" s="34" t="n">
        <f aca="false">D236*Hypothèses!$I$59</f>
        <v>44505000</v>
      </c>
      <c r="E240" s="34" t="n">
        <f aca="false">E236*Hypothèses!$I$59</f>
        <v>124569000</v>
      </c>
      <c r="F240" s="34" t="n">
        <f aca="false">F236*Hypothèses!$I$59</f>
        <v>251262000</v>
      </c>
      <c r="G240" s="34" t="n">
        <f aca="false">G236*Hypothèses!$I$59</f>
        <v>459810000</v>
      </c>
    </row>
    <row r="241" customFormat="false" ht="15" hidden="false" customHeight="false" outlineLevel="0" collapsed="false">
      <c r="A241" s="6" t="s">
        <v>181</v>
      </c>
      <c r="B241" s="6" t="s">
        <v>160</v>
      </c>
      <c r="C241" s="34" t="n">
        <f aca="false">C237*Hypothèses!$I$60</f>
        <v>9868500</v>
      </c>
      <c r="D241" s="34" t="n">
        <f aca="false">D237*Hypothèses!$I$60</f>
        <v>33378750</v>
      </c>
      <c r="E241" s="34" t="n">
        <f aca="false">E237*Hypothèses!$I$60</f>
        <v>87198300</v>
      </c>
      <c r="F241" s="34" t="n">
        <f aca="false">F237*Hypothèses!$I$60</f>
        <v>163320300</v>
      </c>
      <c r="G241" s="34" t="n">
        <f aca="false">G237*Hypothèses!$I$60</f>
        <v>275886000</v>
      </c>
    </row>
    <row r="242" customFormat="false" ht="15" hidden="false" customHeight="false" outlineLevel="0" collapsed="false">
      <c r="A242" s="6" t="s">
        <v>182</v>
      </c>
      <c r="B242" s="6" t="s">
        <v>160</v>
      </c>
      <c r="C242" s="34" t="n">
        <f aca="false">C234/Hypothèses!$C$30*Hypothèses!$I$62*Hypothèses!$C$31*12</f>
        <v>2322000</v>
      </c>
      <c r="D242" s="34" t="n">
        <f aca="false">D234/Hypothèses!$C$30*Hypothèses!$I$62*Hypothèses!$C$31*12</f>
        <v>8901000</v>
      </c>
      <c r="E242" s="34" t="n">
        <f aca="false">E234/Hypothèses!$C$30*Hypothèses!$I$62*Hypothèses!$C$31*12</f>
        <v>23553000</v>
      </c>
      <c r="F242" s="34" t="n">
        <f aca="false">F234/Hypothèses!$C$30*Hypothèses!$I$62*Hypothèses!$C$31*12</f>
        <v>45036000</v>
      </c>
      <c r="G242" s="34" t="n">
        <f aca="false">G234/Hypothèses!$C$30*Hypothèses!$I$62*Hypothèses!$C$31*12</f>
        <v>79191000</v>
      </c>
      <c r="H242" s="7" t="s">
        <v>183</v>
      </c>
    </row>
    <row r="243" customFormat="false" ht="15" hidden="false" customHeight="false" outlineLevel="0" collapsed="false">
      <c r="A243" s="6" t="s">
        <v>184</v>
      </c>
      <c r="B243" s="6" t="s">
        <v>160</v>
      </c>
      <c r="C243" s="34" t="n">
        <f aca="false">C234*Hypothèses!$I$63*Hypothèses!$C$32*12</f>
        <v>1393200</v>
      </c>
      <c r="D243" s="34" t="n">
        <f aca="false">D234*Hypothèses!$I$63*Hypothèses!$C$32*12</f>
        <v>5340600</v>
      </c>
      <c r="E243" s="34" t="n">
        <f aca="false">E234*Hypothèses!$I$63*Hypothèses!$C$32*12</f>
        <v>14131800</v>
      </c>
      <c r="F243" s="34" t="n">
        <f aca="false">F234*Hypothèses!$I$63*Hypothèses!$C$32*12</f>
        <v>27021600</v>
      </c>
      <c r="G243" s="34" t="n">
        <f aca="false">G234*Hypothèses!$I$63*Hypothèses!$C$32*12</f>
        <v>47514600</v>
      </c>
    </row>
    <row r="244" customFormat="false" ht="15" hidden="false" customHeight="false" outlineLevel="0" collapsed="false">
      <c r="A244" s="6" t="s">
        <v>185</v>
      </c>
      <c r="B244" s="6" t="s">
        <v>160</v>
      </c>
      <c r="C244" s="34" t="n">
        <f aca="false">C234*Hypothèses!$C$33*Hypothèses!$C$34*Hypothèses!$I$64</f>
        <v>1857600</v>
      </c>
      <c r="D244" s="34" t="n">
        <f aca="false">D234*Hypothèses!$C$33*Hypothèses!$C$34*Hypothèses!$I$64</f>
        <v>7120800</v>
      </c>
      <c r="E244" s="34" t="n">
        <f aca="false">E234*Hypothèses!$C$33*Hypothèses!$C$34*Hypothèses!$I$64</f>
        <v>18842400</v>
      </c>
      <c r="F244" s="34" t="n">
        <f aca="false">F234*Hypothèses!$C$33*Hypothèses!$C$34*Hypothèses!$I$64</f>
        <v>36028800</v>
      </c>
      <c r="G244" s="34" t="n">
        <f aca="false">G234*Hypothèses!$C$33*Hypothèses!$C$34*Hypothèses!$I$64</f>
        <v>63352800</v>
      </c>
    </row>
    <row r="245" customFormat="false" ht="15" hidden="false" customHeight="false" outlineLevel="0" collapsed="false">
      <c r="A245" s="6" t="s">
        <v>186</v>
      </c>
      <c r="B245" s="6" t="s">
        <v>160</v>
      </c>
      <c r="C245" s="34" t="n">
        <f aca="false">C238*Hypothèses!$C$36*Hypothèses!$C$37</f>
        <v>208980</v>
      </c>
      <c r="D245" s="34" t="n">
        <f aca="false">D238*Hypothèses!$C$36*Hypothèses!$C$37</f>
        <v>1602180</v>
      </c>
      <c r="E245" s="34" t="n">
        <f aca="false">E238*Hypothèses!$C$36*Hypothèses!$C$37</f>
        <v>7065900</v>
      </c>
      <c r="F245" s="34" t="n">
        <f aca="false">F238*Hypothèses!$C$36*Hypothèses!$C$37</f>
        <v>16212960</v>
      </c>
      <c r="G245" s="34" t="n">
        <f aca="false">G238*Hypothèses!$C$36*Hypothèses!$C$37</f>
        <v>33260220</v>
      </c>
    </row>
    <row r="246" customFormat="false" ht="15" hidden="false" customHeight="false" outlineLevel="0" collapsed="false">
      <c r="A246" s="6" t="s">
        <v>187</v>
      </c>
      <c r="B246" s="6" t="s">
        <v>160</v>
      </c>
      <c r="C246" s="34" t="n">
        <f aca="false">C234*Hypothèses!$C$41*Hypothèses!$C$42*Hypothèses!$C$43*Hypothèses!$I$66</f>
        <v>464400</v>
      </c>
      <c r="D246" s="34" t="n">
        <f aca="false">D234*Hypothèses!$C$41*Hypothèses!$C$42*Hypothèses!$C$43*Hypothèses!$I$66</f>
        <v>1780200</v>
      </c>
      <c r="E246" s="34" t="n">
        <f aca="false">E234*Hypothèses!$C$41*Hypothèses!$C$42*Hypothèses!$C$43*Hypothèses!$I$66</f>
        <v>4710600</v>
      </c>
      <c r="F246" s="34" t="n">
        <f aca="false">F234*Hypothèses!$C$41*Hypothèses!$C$42*Hypothèses!$C$43*Hypothèses!$I$66</f>
        <v>9007200</v>
      </c>
      <c r="G246" s="34" t="n">
        <f aca="false">G234*Hypothèses!$C$41*Hypothèses!$C$42*Hypothèses!$C$43*Hypothèses!$I$66</f>
        <v>15838200</v>
      </c>
    </row>
    <row r="247" customFormat="false" ht="15" hidden="false" customHeight="false" outlineLevel="0" collapsed="false">
      <c r="A247" s="6" t="s">
        <v>188</v>
      </c>
      <c r="B247" s="6" t="s">
        <v>160</v>
      </c>
      <c r="C247" s="34" t="n">
        <f aca="false">C235*Hypothèses!$C$44*12</f>
        <v>4500000</v>
      </c>
      <c r="D247" s="34" t="n">
        <f aca="false">D235*Hypothèses!$C$44*12</f>
        <v>27000000</v>
      </c>
      <c r="E247" s="34" t="n">
        <f aca="false">E235*Hypothèses!$C$44*12</f>
        <v>72000000</v>
      </c>
      <c r="F247" s="34" t="n">
        <f aca="false">F235*Hypothèses!$C$44*12</f>
        <v>135000000</v>
      </c>
      <c r="G247" s="34" t="n">
        <f aca="false">G235*Hypothèses!$C$44*12</f>
        <v>225000000</v>
      </c>
    </row>
    <row r="248" customFormat="false" ht="15" hidden="false" customHeight="false" outlineLevel="0" collapsed="false">
      <c r="A248" s="6" t="s">
        <v>189</v>
      </c>
      <c r="B248" s="6" t="s">
        <v>160</v>
      </c>
      <c r="C248" s="34" t="n">
        <f aca="false">C235*Hypothèses!C$18*Hypothèses!$C$35*Hypothèses!$C$40</f>
        <v>75000</v>
      </c>
      <c r="D248" s="34" t="n">
        <f aca="false">D235*Hypothèses!D$18*Hypothèses!$C$35*Hypothèses!$C$40</f>
        <v>900000</v>
      </c>
      <c r="E248" s="34" t="n">
        <f aca="false">E235*Hypothèses!E$18*Hypothèses!$C$35*Hypothèses!$C$40</f>
        <v>4000000</v>
      </c>
      <c r="F248" s="34" t="n">
        <f aca="false">F235*Hypothèses!F$18*Hypothèses!$C$35*Hypothèses!$C$40</f>
        <v>9000000</v>
      </c>
      <c r="G248" s="34" t="n">
        <f aca="false">G235*Hypothèses!G$18*Hypothèses!$C$35*Hypothèses!$C$40</f>
        <v>17500000</v>
      </c>
    </row>
    <row r="249" customFormat="false" ht="15" hidden="false" customHeight="false" outlineLevel="0" collapsed="false">
      <c r="A249" s="12" t="s">
        <v>190</v>
      </c>
      <c r="B249" s="6" t="s">
        <v>160</v>
      </c>
      <c r="C249" s="36" t="n">
        <f aca="false">SUM(C240:C248)</f>
        <v>32299680</v>
      </c>
      <c r="D249" s="36" t="n">
        <f aca="false">SUM(D240:D248)</f>
        <v>130528530</v>
      </c>
      <c r="E249" s="36" t="n">
        <f aca="false">SUM(E240:E248)</f>
        <v>356071000</v>
      </c>
      <c r="F249" s="36" t="n">
        <f aca="false">SUM(F240:F248)</f>
        <v>691888860</v>
      </c>
      <c r="G249" s="36" t="n">
        <f aca="false">SUM(G240:G248)</f>
        <v>1217352820</v>
      </c>
    </row>
    <row r="250" customFormat="false" ht="15" hidden="false" customHeight="false" outlineLevel="0" collapsed="false">
      <c r="A250" s="35" t="s">
        <v>191</v>
      </c>
    </row>
    <row r="251" customFormat="false" ht="15" hidden="false" customHeight="false" outlineLevel="0" collapsed="false">
      <c r="A251" s="6" t="s">
        <v>192</v>
      </c>
      <c r="B251" s="6" t="s">
        <v>160</v>
      </c>
      <c r="C251" s="34" t="n">
        <f aca="false">C237*(Hypothèses!$C$24+Hypothèses!$C$25)*(1-Hypothèses!$I$61)*(1-Hypothèses!$I$70)</f>
        <v>8881650</v>
      </c>
      <c r="D251" s="34" t="n">
        <f aca="false">D237*(Hypothèses!$C$24+Hypothèses!$C$25)*(1-Hypothèses!$I$61)*(1-Hypothèses!$I$70)</f>
        <v>30040875</v>
      </c>
      <c r="E251" s="34" t="n">
        <f aca="false">E237*(Hypothèses!$C$24+Hypothèses!$C$25)*(1-Hypothèses!$I$61)*(1-Hypothèses!$I$70)</f>
        <v>78478470</v>
      </c>
      <c r="F251" s="34" t="n">
        <f aca="false">F237*(Hypothèses!$C$24+Hypothèses!$C$25)*(1-Hypothèses!$I$61)*(1-Hypothèses!$I$70)</f>
        <v>146988270</v>
      </c>
      <c r="G251" s="34" t="n">
        <f aca="false">G237*(Hypothèses!$C$24+Hypothèses!$C$25)*(1-Hypothèses!$I$61)*(1-Hypothèses!$I$70)</f>
        <v>248297400</v>
      </c>
      <c r="H251" s="7" t="s">
        <v>193</v>
      </c>
    </row>
    <row r="252" customFormat="false" ht="15" hidden="false" customHeight="false" outlineLevel="0" collapsed="false">
      <c r="A252" s="6" t="s">
        <v>194</v>
      </c>
      <c r="B252" s="6" t="s">
        <v>160</v>
      </c>
      <c r="C252" s="34" t="n">
        <f aca="false">(C234+0.5*C235)*(Hypothèses!$C$26+Hypothèses!$C$27)</f>
        <v>2764800</v>
      </c>
      <c r="D252" s="34" t="n">
        <f aca="false">(D234+0.5*D235)*(Hypothèses!$C$26+Hypothèses!$C$27)</f>
        <v>12060900</v>
      </c>
      <c r="E252" s="34" t="n">
        <f aca="false">(E234+0.5*E235)*(Hypothèses!$C$26+Hypothèses!$C$27)</f>
        <v>31997700</v>
      </c>
      <c r="F252" s="34" t="n">
        <f aca="false">(F234+0.5*F235)*(Hypothèses!$C$26+Hypothèses!$C$27)</f>
        <v>60782400</v>
      </c>
      <c r="G252" s="34" t="n">
        <f aca="false">(G234+0.5*G235)*(Hypothèses!$C$26+Hypothèses!$C$27)</f>
        <v>105021900</v>
      </c>
      <c r="H252" s="7" t="s">
        <v>195</v>
      </c>
    </row>
    <row r="253" customFormat="false" ht="15" hidden="false" customHeight="false" outlineLevel="0" collapsed="false">
      <c r="A253" s="6" t="s">
        <v>196</v>
      </c>
      <c r="B253" s="6" t="s">
        <v>160</v>
      </c>
      <c r="C253" s="34" t="n">
        <f aca="false">C234*Hypothèses!$C$29*Hypothèses!$C$28</f>
        <v>967500</v>
      </c>
      <c r="D253" s="34" t="n">
        <f aca="false">MAX(0,D234-C234)*Hypothèses!$C$29*Hypothèses!$C$28</f>
        <v>2741250</v>
      </c>
      <c r="E253" s="34" t="n">
        <f aca="false">MAX(0,E234-D234)*Hypothèses!$C$29*Hypothèses!$C$28</f>
        <v>6105000</v>
      </c>
      <c r="F253" s="34" t="n">
        <f aca="false">MAX(0,F234-E234)*Hypothèses!$C$29*Hypothèses!$C$28</f>
        <v>8951250</v>
      </c>
      <c r="G253" s="34" t="n">
        <f aca="false">MAX(0,G234-F234)*Hypothèses!$C$29*Hypothèses!$C$28</f>
        <v>14231250</v>
      </c>
    </row>
    <row r="254" customFormat="false" ht="15" hidden="false" customHeight="false" outlineLevel="0" collapsed="false">
      <c r="A254" s="6" t="s">
        <v>197</v>
      </c>
      <c r="B254" s="6" t="s">
        <v>160</v>
      </c>
      <c r="C254" s="34" t="n">
        <f aca="false">C238*Hypothèses!$C$38*Hypothèses!$C$39</f>
        <v>174150</v>
      </c>
      <c r="D254" s="34" t="n">
        <f aca="false">D238*Hypothèses!$C$38*Hypothèses!$C$39</f>
        <v>1335150</v>
      </c>
      <c r="E254" s="34" t="n">
        <f aca="false">E238*Hypothèses!$C$38*Hypothèses!$C$39</f>
        <v>5888250</v>
      </c>
      <c r="F254" s="34" t="n">
        <f aca="false">F238*Hypothèses!$C$38*Hypothèses!$C$39</f>
        <v>13510800</v>
      </c>
      <c r="G254" s="34" t="n">
        <f aca="false">G238*Hypothèses!$C$38*Hypothèses!$C$39</f>
        <v>27716850</v>
      </c>
    </row>
    <row r="255" customFormat="false" ht="15" hidden="false" customHeight="false" outlineLevel="0" collapsed="false">
      <c r="A255" s="6" t="s">
        <v>198</v>
      </c>
      <c r="B255" s="6" t="s">
        <v>160</v>
      </c>
      <c r="C255" s="34" t="n">
        <f aca="false">C234*Hypothèses!$I$68+C235*Hypothèses!$I$69</f>
        <v>9240000</v>
      </c>
      <c r="D255" s="34" t="n">
        <f aca="false">MAX(0,D234-C234)*Hypothèses!$I$68+MAX(0,D235-C235)*Hypothèses!$I$69</f>
        <v>29430000</v>
      </c>
      <c r="E255" s="34" t="n">
        <f aca="false">MAX(0,E234-D234)*Hypothèses!$I$68+MAX(0,E235-D235)*Hypothèses!$I$69</f>
        <v>63840000</v>
      </c>
      <c r="F255" s="34" t="n">
        <f aca="false">MAX(0,F234-E234)*Hypothèses!$I$68+MAX(0,F235-E235)*Hypothèses!$I$69</f>
        <v>92610000</v>
      </c>
      <c r="G255" s="34" t="n">
        <f aca="false">MAX(0,G234-F234)*Hypothèses!$I$68+MAX(0,G235-F235)*Hypothèses!$I$69</f>
        <v>143850000</v>
      </c>
      <c r="H255" s="7" t="s">
        <v>199</v>
      </c>
    </row>
    <row r="256" customFormat="false" ht="15" hidden="false" customHeight="false" outlineLevel="0" collapsed="false">
      <c r="A256" s="12" t="s">
        <v>200</v>
      </c>
      <c r="B256" s="6" t="s">
        <v>160</v>
      </c>
      <c r="C256" s="36" t="n">
        <f aca="false">SUM(C251:C255)</f>
        <v>22028100</v>
      </c>
      <c r="D256" s="36" t="n">
        <f aca="false">SUM(D251:D255)</f>
        <v>75608175</v>
      </c>
      <c r="E256" s="36" t="n">
        <f aca="false">SUM(E251:E255)</f>
        <v>186309420</v>
      </c>
      <c r="F256" s="36" t="n">
        <f aca="false">SUM(F251:F255)</f>
        <v>322842720</v>
      </c>
      <c r="G256" s="36" t="n">
        <f aca="false">SUM(G251:G255)</f>
        <v>539117400</v>
      </c>
    </row>
    <row r="257" customFormat="false" ht="15" hidden="false" customHeight="false" outlineLevel="0" collapsed="false">
      <c r="A257" s="12" t="s">
        <v>201</v>
      </c>
      <c r="B257" s="6" t="s">
        <v>160</v>
      </c>
      <c r="C257" s="36" t="n">
        <f aca="false">C249-C256</f>
        <v>10271580</v>
      </c>
      <c r="D257" s="36" t="n">
        <f aca="false">D249-D256</f>
        <v>54920355</v>
      </c>
      <c r="E257" s="36" t="n">
        <f aca="false">E249-E256</f>
        <v>169761580</v>
      </c>
      <c r="F257" s="36" t="n">
        <f aca="false">F249-F256</f>
        <v>369046140</v>
      </c>
      <c r="G257" s="36" t="n">
        <f aca="false">G249-G256</f>
        <v>678235420</v>
      </c>
    </row>
    <row r="258" customFormat="false" ht="15" hidden="false" customHeight="false" outlineLevel="0" collapsed="false">
      <c r="A258" s="35" t="s">
        <v>202</v>
      </c>
    </row>
    <row r="259" customFormat="false" ht="15" hidden="false" customHeight="false" outlineLevel="0" collapsed="false">
      <c r="A259" s="6" t="s">
        <v>203</v>
      </c>
      <c r="B259" s="6" t="s">
        <v>160</v>
      </c>
      <c r="C259" s="34" t="n">
        <f aca="false">(Hypothèses!C$20*Hypothèses!$C$46+Hypothèses!$C$49)*(1-Hypothèses!$I$72)</f>
        <v>70400000</v>
      </c>
      <c r="D259" s="34" t="n">
        <f aca="false">(Hypothèses!D$20*Hypothèses!$C$46+Hypothèses!$C$49)*(1-Hypothèses!$I$72)</f>
        <v>89600000</v>
      </c>
      <c r="E259" s="34" t="n">
        <f aca="false">(Hypothèses!E$20*Hypothèses!$C$46+Hypothèses!$C$49)*(1-Hypothèses!$I$72)</f>
        <v>108800000</v>
      </c>
      <c r="F259" s="34" t="n">
        <f aca="false">(Hypothèses!F$20*Hypothèses!$C$46+Hypothèses!$C$49)*(1-Hypothèses!$I$72)</f>
        <v>128000000</v>
      </c>
      <c r="G259" s="34" t="n">
        <f aca="false">(Hypothèses!G$20*Hypothèses!$C$46+Hypothèses!$C$49)*(1-Hypothèses!$I$72)</f>
        <v>147200000</v>
      </c>
    </row>
    <row r="260" customFormat="false" ht="15" hidden="false" customHeight="false" outlineLevel="0" collapsed="false">
      <c r="A260" s="6" t="s">
        <v>204</v>
      </c>
      <c r="B260" s="6" t="s">
        <v>160</v>
      </c>
      <c r="C260" s="34" t="n">
        <f aca="false">Déploiement!C$39*(Hypothèses!$C$47+Hypothèses!$C$48)*Hypothèses!$I$58+Déploiement!C$39*Hypothèses!$C$47*0.5*(1-Hypothèses!$I$58)</f>
        <v>57000000</v>
      </c>
      <c r="D260" s="34" t="n">
        <f aca="false">Déploiement!D$39*(Hypothèses!$C$47+Hypothèses!$C$48)*Hypothèses!$I$58+Déploiement!D$39*Hypothèses!$C$47*0.5*(1-Hypothèses!$I$58)</f>
        <v>57000000</v>
      </c>
      <c r="E260" s="34" t="n">
        <f aca="false">Déploiement!E$39*(Hypothèses!$C$47+Hypothèses!$C$48)*Hypothèses!$I$58+Déploiement!E$39*Hypothèses!$C$47*0.5*(1-Hypothèses!$I$58)</f>
        <v>114000000</v>
      </c>
      <c r="F260" s="34" t="n">
        <f aca="false">Déploiement!F$39*(Hypothèses!$C$47+Hypothèses!$C$48)*Hypothèses!$I$58+Déploiement!F$39*Hypothèses!$C$47*0.5*(1-Hypothèses!$I$58)</f>
        <v>171000000</v>
      </c>
      <c r="G260" s="34" t="n">
        <f aca="false">Déploiement!G$39*(Hypothèses!$C$47+Hypothèses!$C$48)*Hypothèses!$I$58+Déploiement!G$39*Hypothèses!$C$47*0.5*(1-Hypothèses!$I$58)</f>
        <v>285000000</v>
      </c>
      <c r="H260" s="7" t="s">
        <v>205</v>
      </c>
    </row>
    <row r="261" customFormat="false" ht="15" hidden="false" customHeight="false" outlineLevel="0" collapsed="false">
      <c r="A261" s="6" t="s">
        <v>206</v>
      </c>
      <c r="B261" s="6" t="s">
        <v>160</v>
      </c>
      <c r="C261" s="34" t="n">
        <f aca="false">Hypothèses!$C$50*Hypothèses!C$21*Hypothèses!$I$65+Hypothèses!$C$51*IF(Hypothèses!$I$67&gt;0,1,0)</f>
        <v>25000000</v>
      </c>
      <c r="D261" s="34" t="n">
        <f aca="false">Hypothèses!$C$50*Hypothèses!D$21*Hypothèses!$I$65+Hypothèses!$C$51*IF(Hypothèses!$I$67&gt;0,1,0)</f>
        <v>40000000</v>
      </c>
      <c r="E261" s="34" t="n">
        <f aca="false">Hypothèses!$C$50*Hypothèses!E$21*Hypothèses!$I$65+Hypothèses!$C$51*IF(Hypothèses!$I$67&gt;0,1,0)</f>
        <v>55000000</v>
      </c>
      <c r="F261" s="34" t="n">
        <f aca="false">Hypothèses!$C$50*Hypothèses!F$21*Hypothèses!$I$65+Hypothèses!$C$51*IF(Hypothèses!$I$67&gt;0,1,0)</f>
        <v>55000000</v>
      </c>
      <c r="G261" s="34" t="n">
        <f aca="false">Hypothèses!$C$50*Hypothèses!G$21*Hypothèses!$I$65+Hypothèses!$C$51*IF(Hypothèses!$I$67&gt;0,1,0)</f>
        <v>55000000</v>
      </c>
    </row>
    <row r="262" customFormat="false" ht="15" hidden="false" customHeight="false" outlineLevel="0" collapsed="false">
      <c r="A262" s="12" t="s">
        <v>207</v>
      </c>
      <c r="B262" s="6" t="s">
        <v>160</v>
      </c>
      <c r="C262" s="36" t="n">
        <f aca="false">SUM(C259:C261)</f>
        <v>152400000</v>
      </c>
      <c r="D262" s="36" t="n">
        <f aca="false">SUM(D259:D261)</f>
        <v>186600000</v>
      </c>
      <c r="E262" s="36" t="n">
        <f aca="false">SUM(E259:E261)</f>
        <v>277800000</v>
      </c>
      <c r="F262" s="36" t="n">
        <f aca="false">SUM(F259:F261)</f>
        <v>354000000</v>
      </c>
      <c r="G262" s="36" t="n">
        <f aca="false">SUM(G259:G261)</f>
        <v>487200000</v>
      </c>
    </row>
    <row r="263" customFormat="false" ht="15" hidden="false" customHeight="false" outlineLevel="0" collapsed="false">
      <c r="A263" s="35" t="s">
        <v>208</v>
      </c>
    </row>
    <row r="264" customFormat="false" ht="15" hidden="false" customHeight="false" outlineLevel="0" collapsed="false">
      <c r="A264" s="12" t="s">
        <v>209</v>
      </c>
      <c r="B264" s="6" t="s">
        <v>160</v>
      </c>
      <c r="C264" s="36" t="n">
        <f aca="false">C257-C262</f>
        <v>-142128420</v>
      </c>
      <c r="D264" s="36" t="n">
        <f aca="false">D257-D262</f>
        <v>-131679645</v>
      </c>
      <c r="E264" s="36" t="n">
        <f aca="false">E257-E262</f>
        <v>-108038420</v>
      </c>
      <c r="F264" s="36" t="n">
        <f aca="false">F257-F262</f>
        <v>15046140</v>
      </c>
      <c r="G264" s="36" t="n">
        <f aca="false">G257-G262</f>
        <v>191035420</v>
      </c>
    </row>
    <row r="265" customFormat="false" ht="15" hidden="false" customHeight="false" outlineLevel="0" collapsed="false">
      <c r="A265" s="6" t="s">
        <v>210</v>
      </c>
      <c r="B265" s="6" t="s">
        <v>160</v>
      </c>
      <c r="C265" s="34" t="n">
        <f aca="false">MAX(0,C264-Hypothèses!$C$52/3*IF(0&lt;3,1,0))*Hypothèses!$C$53</f>
        <v>0</v>
      </c>
      <c r="D265" s="34" t="n">
        <f aca="false">MAX(0,D264-Hypothèses!$C$52/3*IF(1&lt;3,1,0))*Hypothèses!$C$53</f>
        <v>0</v>
      </c>
      <c r="E265" s="34" t="n">
        <f aca="false">MAX(0,E264-Hypothèses!$C$52/3*IF(2&lt;3,1,0))*Hypothèses!$C$53</f>
        <v>0</v>
      </c>
      <c r="F265" s="34" t="n">
        <f aca="false">MAX(0,F264-Hypothèses!$C$52/3*IF(3&lt;3,1,0))*Hypothèses!$C$53</f>
        <v>4137688.5</v>
      </c>
      <c r="G265" s="34" t="n">
        <f aca="false">MAX(0,G264-Hypothèses!$C$52/3*IF(4&lt;3,1,0))*Hypothèses!$C$53</f>
        <v>52534740.5</v>
      </c>
    </row>
    <row r="266" customFormat="false" ht="15" hidden="false" customHeight="false" outlineLevel="0" collapsed="false">
      <c r="A266" s="6" t="s">
        <v>211</v>
      </c>
      <c r="B266" s="6" t="s">
        <v>160</v>
      </c>
      <c r="C266" s="34" t="n">
        <f aca="false">C264-C265-IF(0=0,Hypothèses!$C$52,0)</f>
        <v>-187128420</v>
      </c>
      <c r="D266" s="34" t="n">
        <f aca="false">D264-D265-IF(1=0,Hypothèses!$C$52,0)</f>
        <v>-131679645</v>
      </c>
      <c r="E266" s="34" t="n">
        <f aca="false">E264-E265-IF(2=0,Hypothèses!$C$52,0)</f>
        <v>-108038420</v>
      </c>
      <c r="F266" s="34" t="n">
        <f aca="false">F264-F265-IF(3=0,Hypothèses!$C$52,0)</f>
        <v>10908451.5</v>
      </c>
      <c r="G266" s="34" t="n">
        <f aca="false">G264-G265-IF(4=0,Hypothèses!$C$52,0)</f>
        <v>138500679.5</v>
      </c>
    </row>
    <row r="267" customFormat="false" ht="15" hidden="false" customHeight="false" outlineLevel="0" collapsed="false">
      <c r="A267" s="12" t="s">
        <v>212</v>
      </c>
      <c r="B267" s="6" t="s">
        <v>160</v>
      </c>
      <c r="C267" s="36" t="n">
        <f aca="false">C266</f>
        <v>-187128420</v>
      </c>
      <c r="D267" s="36" t="n">
        <f aca="false">C267+D266</f>
        <v>-318808065</v>
      </c>
      <c r="E267" s="36" t="n">
        <f aca="false">D267+E266</f>
        <v>-426846485</v>
      </c>
      <c r="F267" s="36" t="n">
        <f aca="false">E267+F266</f>
        <v>-415938033.5</v>
      </c>
      <c r="G267" s="36" t="n">
        <f aca="false">F267+G266</f>
        <v>-277437354</v>
      </c>
    </row>
    <row r="268" customFormat="false" ht="15" hidden="false" customHeight="false" outlineLevel="0" collapsed="false">
      <c r="A268" s="6" t="s">
        <v>213</v>
      </c>
      <c r="B268" s="6" t="s">
        <v>214</v>
      </c>
      <c r="C268" s="37" t="n">
        <f aca="false">IF(C264&gt;0,1,0)</f>
        <v>0</v>
      </c>
      <c r="D268" s="37" t="n">
        <f aca="false">IF(D264&gt;0,1,0)</f>
        <v>0</v>
      </c>
      <c r="E268" s="37" t="n">
        <f aca="false">IF(E264&gt;0,1,0)</f>
        <v>0</v>
      </c>
      <c r="F268" s="37" t="n">
        <f aca="false">IF(F264&gt;0,1,0)</f>
        <v>1</v>
      </c>
      <c r="G268" s="37" t="n">
        <f aca="false">IF(G264&gt;0,1,0)</f>
        <v>1</v>
      </c>
    </row>
    <row r="269" customFormat="false" ht="15" hidden="false" customHeight="false" outlineLevel="0" collapsed="false">
      <c r="A269" s="6" t="s">
        <v>215</v>
      </c>
      <c r="B269" s="6" t="s">
        <v>80</v>
      </c>
      <c r="C269" s="33" t="n">
        <f aca="false">IF((C234+C235)=0,0,(C257+C255)/(C234+C235))</f>
        <v>1531.52119309262</v>
      </c>
      <c r="D269" s="33" t="n">
        <f aca="false">IF((D234+D235)=0,0,(D257+D255)/(D234+D235))</f>
        <v>1413.61412770236</v>
      </c>
      <c r="E269" s="33" t="n">
        <f aca="false">IF((E234+E235)=0,0,(E257+E255)/(E234+E235))</f>
        <v>1473.73402309003</v>
      </c>
      <c r="F269" s="33" t="n">
        <f aca="false">IF((F234+F235)=0,0,(F257+F255)/(F234+F235))</f>
        <v>1538.23850459816</v>
      </c>
      <c r="G269" s="33" t="n">
        <f aca="false">IF((G234+G235)=0,0,(G257+G255)/(G234+G235))</f>
        <v>1599.48133159523</v>
      </c>
      <c r="H269" s="7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223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224</v>
      </c>
    </row>
    <row r="4" customFormat="false" ht="15" hidden="false" customHeight="false" outlineLevel="0" collapsed="false">
      <c r="A4" s="12" t="s">
        <v>225</v>
      </c>
      <c r="B4" s="38" t="n">
        <v>0.006</v>
      </c>
      <c r="C4" s="38" t="n">
        <v>0.009</v>
      </c>
      <c r="D4" s="38" t="n">
        <v>0.012</v>
      </c>
      <c r="E4" s="38" t="n">
        <v>0.015</v>
      </c>
      <c r="F4" s="38" t="n">
        <v>0.02</v>
      </c>
    </row>
    <row r="5" customFormat="false" ht="15" hidden="false" customHeight="false" outlineLevel="0" collapsed="false">
      <c r="A5" s="39" t="n">
        <v>0.5</v>
      </c>
      <c r="B5" s="28" t="n">
        <f aca="false">($A5)*(Modèles!$G$257+Modèles!$G$251)-$A5*Modèles!$G$237*B$4-Modèles!$G$262</f>
        <v>-106699390</v>
      </c>
      <c r="C5" s="28" t="n">
        <f aca="false">($A5)*(Modèles!$G$257+Modèles!$G$251)-$A5*Modèles!$G$237*C$4-Modèles!$G$262</f>
        <v>-148082290</v>
      </c>
      <c r="D5" s="28" t="n">
        <f aca="false">($A5)*(Modèles!$G$257+Modèles!$G$251)-$A5*Modèles!$G$237*D$4-Modèles!$G$262</f>
        <v>-189465190</v>
      </c>
      <c r="E5" s="28" t="n">
        <f aca="false">($A5)*(Modèles!$G$257+Modèles!$G$251)-$A5*Modèles!$G$237*E$4-Modèles!$G$262</f>
        <v>-230848090</v>
      </c>
      <c r="F5" s="28" t="n">
        <f aca="false">($A5)*(Modèles!$G$257+Modèles!$G$251)-$A5*Modèles!$G$237*F$4-Modèles!$G$262</f>
        <v>-299819590</v>
      </c>
    </row>
    <row r="6" customFormat="false" ht="15" hidden="false" customHeight="false" outlineLevel="0" collapsed="false">
      <c r="A6" s="39" t="n">
        <v>0.75</v>
      </c>
      <c r="B6" s="28" t="n">
        <f aca="false">($A6)*(Modèles!$G$257+Modèles!$G$251)-$A6*Modèles!$G$237*B$4-Modèles!$G$262</f>
        <v>83550915</v>
      </c>
      <c r="C6" s="28" t="n">
        <f aca="false">($A6)*(Modèles!$G$257+Modèles!$G$251)-$A6*Modèles!$G$237*C$4-Modèles!$G$262</f>
        <v>21476565</v>
      </c>
      <c r="D6" s="28" t="n">
        <f aca="false">($A6)*(Modèles!$G$257+Modèles!$G$251)-$A6*Modèles!$G$237*D$4-Modèles!$G$262</f>
        <v>-40597785</v>
      </c>
      <c r="E6" s="28" t="n">
        <f aca="false">($A6)*(Modèles!$G$257+Modèles!$G$251)-$A6*Modèles!$G$237*E$4-Modèles!$G$262</f>
        <v>-102672135</v>
      </c>
      <c r="F6" s="28" t="n">
        <f aca="false">($A6)*(Modèles!$G$257+Modèles!$G$251)-$A6*Modèles!$G$237*F$4-Modèles!$G$262</f>
        <v>-206129385</v>
      </c>
    </row>
    <row r="7" customFormat="false" ht="15" hidden="false" customHeight="false" outlineLevel="0" collapsed="false">
      <c r="A7" s="39" t="n">
        <v>1</v>
      </c>
      <c r="B7" s="28" t="n">
        <f aca="false">($A7)*(Modèles!$G$257+Modèles!$G$251)-$A7*Modèles!$G$237*B$4-Modèles!$G$262</f>
        <v>273801220</v>
      </c>
      <c r="C7" s="28" t="n">
        <f aca="false">($A7)*(Modèles!$G$257+Modèles!$G$251)-$A7*Modèles!$G$237*C$4-Modèles!$G$262</f>
        <v>191035420</v>
      </c>
      <c r="D7" s="40" t="n">
        <f aca="false">($A7)*(Modèles!$G$257+Modèles!$G$251)-$A7*Modèles!$G$237*D$4-Modèles!$G$262</f>
        <v>108269620</v>
      </c>
      <c r="E7" s="28" t="n">
        <f aca="false">($A7)*(Modèles!$G$257+Modèles!$G$251)-$A7*Modèles!$G$237*E$4-Modèles!$G$262</f>
        <v>25503820</v>
      </c>
      <c r="F7" s="28" t="n">
        <f aca="false">($A7)*(Modèles!$G$257+Modèles!$G$251)-$A7*Modèles!$G$237*F$4-Modèles!$G$262</f>
        <v>-112439180</v>
      </c>
    </row>
    <row r="8" customFormat="false" ht="15" hidden="false" customHeight="false" outlineLevel="0" collapsed="false">
      <c r="A8" s="39" t="n">
        <v>1.25</v>
      </c>
      <c r="B8" s="28" t="n">
        <f aca="false">($A8)*(Modèles!$G$257+Modèles!$G$251)-$A8*Modèles!$G$237*B$4-Modèles!$G$262</f>
        <v>464051525</v>
      </c>
      <c r="C8" s="28" t="n">
        <f aca="false">($A8)*(Modèles!$G$257+Modèles!$G$251)-$A8*Modèles!$G$237*C$4-Modèles!$G$262</f>
        <v>360594275</v>
      </c>
      <c r="D8" s="28" t="n">
        <f aca="false">($A8)*(Modèles!$G$257+Modèles!$G$251)-$A8*Modèles!$G$237*D$4-Modèles!$G$262</f>
        <v>257137025</v>
      </c>
      <c r="E8" s="28" t="n">
        <f aca="false">($A8)*(Modèles!$G$257+Modèles!$G$251)-$A8*Modèles!$G$237*E$4-Modèles!$G$262</f>
        <v>153679775</v>
      </c>
      <c r="F8" s="28" t="n">
        <f aca="false">($A8)*(Modèles!$G$257+Modèles!$G$251)-$A8*Modèles!$G$237*F$4-Modèles!$G$262</f>
        <v>-18748975</v>
      </c>
    </row>
    <row r="10" customFormat="false" ht="15" hidden="false" customHeight="false" outlineLevel="0" collapsed="false">
      <c r="A10" s="7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2026-09-28T01:29:03Z</dcterms:created>
  <dc:creator>openpyxl</dc:creator>
  <dc:description/>
  <dc:language>en-US</dc:language>
  <cp:lastModifiedBy/>
  <dcterms:modified xsi:type="dcterms:W3CDTF">2026-09-28T01:29:03Z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